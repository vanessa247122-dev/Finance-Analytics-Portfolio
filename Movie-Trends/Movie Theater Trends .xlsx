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\Downloads\"/>
    </mc:Choice>
  </mc:AlternateContent>
  <xr:revisionPtr revIDLastSave="0" documentId="8_{C812B0A2-B679-4648-8038-5BD4F7DB5E8D}" xr6:coauthVersionLast="47" xr6:coauthVersionMax="47" xr10:uidLastSave="{00000000-0000-0000-0000-000000000000}"/>
  <bookViews>
    <workbookView xWindow="-108" yWindow="-108" windowWidth="23256" windowHeight="13896" xr2:uid="{D5B81ADE-7933-4628-8C28-C3F5576737F8}"/>
  </bookViews>
  <sheets>
    <sheet name="Overview" sheetId="12" r:id="rId1"/>
    <sheet name="Data Set" sheetId="1" r:id="rId2"/>
    <sheet name="Top 10 Movies" sheetId="13" r:id="rId3"/>
    <sheet name="Top 10 Distributors" sheetId="10" r:id="rId4"/>
    <sheet name="Distributor Market Share" sheetId="5" r:id="rId5"/>
    <sheet name="Theater Performance" sheetId="2" r:id="rId6"/>
    <sheet name="Theaters vs Gross" sheetId="8" r:id="rId7"/>
    <sheet name="Bottom 10 LW% Change " sheetId="16" r:id="rId8"/>
    <sheet name="Top 10 LW% Change" sheetId="11" r:id="rId9"/>
  </sheets>
  <calcPr calcId="191028"/>
  <pivotCaches>
    <pivotCache cacheId="1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<sst xmlns="http://schemas.openxmlformats.org/spreadsheetml/2006/main" count="329" uniqueCount="144">
  <si>
    <t>Weekend Domestic Chart for August 29, 2025</t>
  </si>
  <si>
    <t>Movie Title</t>
  </si>
  <si>
    <t>Distributor</t>
  </si>
  <si>
    <t>Gross</t>
  </si>
  <si>
    <t>%LW</t>
  </si>
  <si>
    <t>Theaters</t>
  </si>
  <si>
    <t>Theaters
Change</t>
  </si>
  <si>
    <t>Per
Theater</t>
  </si>
  <si>
    <t>Total
Gross</t>
  </si>
  <si>
    <t>Weekends In
Release</t>
  </si>
  <si>
    <t>Weapons</t>
  </si>
  <si>
    <t>Warner Bros.</t>
  </si>
  <si>
    <t>Jaws</t>
  </si>
  <si>
    <t>Universal</t>
  </si>
  <si>
    <t> </t>
  </si>
  <si>
    <t>Caught Stealing</t>
  </si>
  <si>
    <t>Sony Pictures</t>
  </si>
  <si>
    <t>Freakier Friday</t>
  </si>
  <si>
    <t>Walt Disney</t>
  </si>
  <si>
    <t>The Roses</t>
  </si>
  <si>
    <t>Searchlight …</t>
  </si>
  <si>
    <t>The Fantastic Four: First Steps</t>
  </si>
  <si>
    <t>The Bad Guys 2</t>
  </si>
  <si>
    <t>Superman</t>
  </si>
  <si>
    <t>Nobody 2</t>
  </si>
  <si>
    <t>The Naked Gun</t>
  </si>
  <si>
    <t>Paramount Pi…</t>
  </si>
  <si>
    <t>The Toxic Avenger Unrated</t>
  </si>
  <si>
    <t>Iconic/Cinev…</t>
  </si>
  <si>
    <t>Jurassic World Rebirth</t>
  </si>
  <si>
    <t>F1: The Movie</t>
  </si>
  <si>
    <t>Lilo &amp; Stitch</t>
  </si>
  <si>
    <t>Honey Don’t</t>
  </si>
  <si>
    <t>Focus Features</t>
  </si>
  <si>
    <t>Relay</t>
  </si>
  <si>
    <t>Bleecker Street</t>
  </si>
  <si>
    <t>Ne Zha 2</t>
  </si>
  <si>
    <t>A24</t>
  </si>
  <si>
    <t>Together</t>
  </si>
  <si>
    <t>Neon</t>
  </si>
  <si>
    <t>Splitsville</t>
  </si>
  <si>
    <t>How to Train Your Dragon</t>
  </si>
  <si>
    <t>Eden</t>
  </si>
  <si>
    <t>Vertical Ent…</t>
  </si>
  <si>
    <t>Shin Godzilla</t>
  </si>
  <si>
    <t>GKIDS</t>
  </si>
  <si>
    <t>Lurker</t>
  </si>
  <si>
    <t>MUBI</t>
  </si>
  <si>
    <t>A Little Prayer</t>
  </si>
  <si>
    <t>Music Box Films</t>
  </si>
  <si>
    <t>Sketch</t>
  </si>
  <si>
    <t>Angel Studios</t>
  </si>
  <si>
    <t>Sharing Aloha</t>
  </si>
  <si>
    <t>Susan Tucket…</t>
  </si>
  <si>
    <t>Love, Brooklyn</t>
  </si>
  <si>
    <t>Greenwich</t>
  </si>
  <si>
    <t>It’s Never Over, Jeff Buckley</t>
  </si>
  <si>
    <t>Magnolia Pic…</t>
  </si>
  <si>
    <t>Ran</t>
  </si>
  <si>
    <t>Rialto Pictures</t>
  </si>
  <si>
    <t>CatVideoFest 2025</t>
  </si>
  <si>
    <t>Oscilloscope…</t>
  </si>
  <si>
    <t>Elio</t>
  </si>
  <si>
    <t>East of Wall</t>
  </si>
  <si>
    <t>Sony Picture…</t>
  </si>
  <si>
    <t>Bad Shabbos</t>
  </si>
  <si>
    <t>Menemsha Ent…</t>
  </si>
  <si>
    <t>Trust</t>
  </si>
  <si>
    <t>Republic Pic…</t>
  </si>
  <si>
    <t>Jane Austen Wrecked My Life</t>
  </si>
  <si>
    <t>Boys Go to Jupiter</t>
  </si>
  <si>
    <t>Cartuna</t>
  </si>
  <si>
    <t>Pools</t>
  </si>
  <si>
    <t>Circle Colle…</t>
  </si>
  <si>
    <t>Don’t Let’s Go to the Dogs Tonight</t>
  </si>
  <si>
    <t>My Mother’s Wedding</t>
  </si>
  <si>
    <t>Seeds</t>
  </si>
  <si>
    <t>n/c</t>
  </si>
  <si>
    <t>Diva</t>
  </si>
  <si>
    <t>Cloud</t>
  </si>
  <si>
    <t>Janus Films</t>
  </si>
  <si>
    <t>Shari &amp; Lamb Chop</t>
  </si>
  <si>
    <t>Kino Lorber</t>
  </si>
  <si>
    <t>Shoshana</t>
  </si>
  <si>
    <t>Night of the Juggler</t>
  </si>
  <si>
    <t>Hot Spring Shark Attack</t>
  </si>
  <si>
    <t>Utopia</t>
  </si>
  <si>
    <t>Folktales</t>
  </si>
  <si>
    <t>Hearts of Darkness: A Filmmaker's Apocalypse</t>
  </si>
  <si>
    <t>Marlee Matlin: Not Alone Anymore</t>
  </si>
  <si>
    <t>Souleymane’s Story</t>
  </si>
  <si>
    <t>Dogtooth</t>
  </si>
  <si>
    <t>Oh, Hi!</t>
  </si>
  <si>
    <t>Can’t Let It Go</t>
  </si>
  <si>
    <t>Indican Pict…</t>
  </si>
  <si>
    <t>Suspended Time</t>
  </si>
  <si>
    <t>Hell House LLC: Lineage</t>
  </si>
  <si>
    <t>Iconic Relea…</t>
  </si>
  <si>
    <t>Eli Roth Presents: Jimmy and Stiggs</t>
  </si>
  <si>
    <t>Eephus</t>
  </si>
  <si>
    <t>Pavements</t>
  </si>
  <si>
    <t>The Sacrifice</t>
  </si>
  <si>
    <t>Orion Pictures</t>
  </si>
  <si>
    <t>The Annihilation of Fish</t>
  </si>
  <si>
    <t>Pariah</t>
  </si>
  <si>
    <t>Monk in Pieces</t>
  </si>
  <si>
    <t>The Boondock Saints</t>
  </si>
  <si>
    <t>Familiar Touch</t>
  </si>
  <si>
    <t>Kill The Jockey</t>
  </si>
  <si>
    <t>In the Fire of War</t>
  </si>
  <si>
    <t>Hung Up on a Dream: The Zombies Documentary</t>
  </si>
  <si>
    <t>Hema Hema: Sing Me a Song While I Wait</t>
  </si>
  <si>
    <t>Dekanalog</t>
  </si>
  <si>
    <t>A Photographic Memory</t>
  </si>
  <si>
    <t>Zeitgeist</t>
  </si>
  <si>
    <t>Row Labels</t>
  </si>
  <si>
    <t>Sum of Gross</t>
  </si>
  <si>
    <t>Grand Total</t>
  </si>
  <si>
    <t>Average of Theaters</t>
  </si>
  <si>
    <t>Average of TotalGross</t>
  </si>
  <si>
    <t>Sum of Total</t>
  </si>
  <si>
    <t>Max of %LW</t>
  </si>
  <si>
    <t>Project Objective</t>
  </si>
  <si>
    <t>Analyze movie industry data to identify trends in movie performance, genres, ratings, and revenue.</t>
  </si>
  <si>
    <t>Tools Used</t>
  </si>
  <si>
    <t>Microsoft Excel</t>
  </si>
  <si>
    <t>Pivot Tables</t>
  </si>
  <si>
    <t>Excel formulas</t>
  </si>
  <si>
    <t>Data visualization</t>
  </si>
  <si>
    <t>Analysis Focus</t>
  </si>
  <si>
    <t>Movie genres</t>
  </si>
  <si>
    <t>Revenue</t>
  </si>
  <si>
    <t>Ratings</t>
  </si>
  <si>
    <t>Release trends</t>
  </si>
  <si>
    <t>Movie performance</t>
  </si>
  <si>
    <t>Key Findings</t>
  </si>
  <si>
    <r>
      <t>Note:</t>
    </r>
    <r>
      <rPr>
        <sz val="11"/>
        <color theme="1"/>
        <rFont val="Aptos Narrow"/>
        <family val="2"/>
        <scheme val="minor"/>
      </rPr>
      <t xml:space="preserve"> The accompanying presentation contains the complete analysis and final visualizations. This workbook contains the supporting Excel analysis retained from the project.</t>
    </r>
  </si>
  <si>
    <t>MOVIE TRENDS ANALYSIS FOR WEEKEND OF AUGUST 29 2025</t>
  </si>
  <si>
    <t>Lilo &amp; Stitch had the highest total gross, showing strong overall performance.</t>
  </si>
  <si>
    <t>Movies like Hell House had steep drops, while My Life and Ran saw big gains due to theater expansions.</t>
  </si>
  <si>
    <t>Universal led weekend revenue on August 29, 2025, followed by Warner Bros. and Walt Disney.</t>
  </si>
  <si>
    <t>Universal had the most market share during the weekend of 8/29/2025</t>
  </si>
  <si>
    <t>Sum of Total
Gross</t>
  </si>
  <si>
    <t>overview of how many theaters each movie 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</si>
</sst>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000000"/>
      <name val="Inherit"/>
      <charset val="1"/>
    </font>
    <font>
      <b/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rgb="FF111111"/>
      </bottom>
      <diagonal/>
    </border>
    <border>
      <left/>
      <right/>
      <top style="thin">
        <color rgb="FFD0D0D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111111"/>
      </bottom>
      <diagonal/>
    </border>
    <border>
      <left/>
      <right/>
      <top style="thin">
        <color theme="4" tint="0.39997558519241921"/>
      </top>
      <bottom style="thin">
        <color rgb="FF111111"/>
      </bottom>
      <diagonal/>
    </border>
    <border>
      <left style="thin">
        <color theme="4" tint="0.39997558519241921"/>
      </left>
      <right/>
      <top style="thin">
        <color rgb="FFD0D0D0"/>
      </top>
      <bottom style="thin">
        <color theme="4" tint="0.39997558519241921"/>
      </bottom>
      <diagonal/>
    </border>
    <border>
      <left/>
      <right/>
      <top style="thin">
        <color rgb="FFD0D0D0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3" borderId="2" xfId="0" applyFill="1" applyBorder="1"/>
    <xf numFmtId="0" fontId="1" fillId="3" borderId="2" xfId="1" applyFill="1" applyBorder="1"/>
    <xf numFmtId="6" fontId="0" fillId="4" borderId="2" xfId="0" applyNumberFormat="1" applyFill="1" applyBorder="1"/>
    <xf numFmtId="0" fontId="4" fillId="3" borderId="2" xfId="0" applyFont="1" applyFill="1" applyBorder="1"/>
    <xf numFmtId="9" fontId="4" fillId="3" borderId="2" xfId="0" applyNumberFormat="1" applyFont="1" applyFill="1" applyBorder="1"/>
    <xf numFmtId="3" fontId="0" fillId="3" borderId="2" xfId="0" applyNumberFormat="1" applyFill="1" applyBorder="1"/>
    <xf numFmtId="6" fontId="5" fillId="3" borderId="2" xfId="0" applyNumberFormat="1" applyFont="1" applyFill="1" applyBorder="1"/>
    <xf numFmtId="6" fontId="0" fillId="3" borderId="2" xfId="0" applyNumberFormat="1" applyFill="1" applyBorder="1"/>
    <xf numFmtId="0" fontId="0" fillId="2" borderId="2" xfId="0" applyFill="1" applyBorder="1"/>
    <xf numFmtId="0" fontId="1" fillId="2" borderId="2" xfId="1" applyFill="1" applyBorder="1"/>
    <xf numFmtId="6" fontId="0" fillId="5" borderId="2" xfId="0" applyNumberFormat="1" applyFill="1" applyBorder="1"/>
    <xf numFmtId="3" fontId="0" fillId="2" borderId="2" xfId="0" applyNumberFormat="1" applyFill="1" applyBorder="1"/>
    <xf numFmtId="6" fontId="5" fillId="2" borderId="2" xfId="0" applyNumberFormat="1" applyFont="1" applyFill="1" applyBorder="1"/>
    <xf numFmtId="6" fontId="0" fillId="2" borderId="2" xfId="0" applyNumberFormat="1" applyFill="1" applyBorder="1"/>
    <xf numFmtId="0" fontId="4" fillId="2" borderId="2" xfId="0" applyFont="1" applyFill="1" applyBorder="1"/>
    <xf numFmtId="9" fontId="4" fillId="2" borderId="2" xfId="0" applyNumberFormat="1" applyFont="1" applyFill="1" applyBorder="1"/>
    <xf numFmtId="3" fontId="4" fillId="2" borderId="2" xfId="0" applyNumberFormat="1" applyFont="1" applyFill="1" applyBorder="1"/>
    <xf numFmtId="0" fontId="7" fillId="2" borderId="2" xfId="0" applyFont="1" applyFill="1" applyBorder="1"/>
    <xf numFmtId="9" fontId="7" fillId="2" borderId="2" xfId="0" applyNumberFormat="1" applyFont="1" applyFill="1" applyBorder="1"/>
    <xf numFmtId="3" fontId="7" fillId="2" borderId="2" xfId="0" applyNumberFormat="1" applyFont="1" applyFill="1" applyBorder="1"/>
    <xf numFmtId="0" fontId="7" fillId="3" borderId="2" xfId="0" applyFont="1" applyFill="1" applyBorder="1"/>
    <xf numFmtId="3" fontId="4" fillId="3" borderId="2" xfId="0" applyNumberFormat="1" applyFont="1" applyFill="1" applyBorder="1"/>
    <xf numFmtId="9" fontId="7" fillId="3" borderId="2" xfId="0" applyNumberFormat="1" applyFont="1" applyFill="1" applyBorder="1"/>
    <xf numFmtId="0" fontId="0" fillId="0" borderId="2" xfId="0" applyBorder="1"/>
    <xf numFmtId="6" fontId="6" fillId="0" borderId="2" xfId="0" applyNumberFormat="1" applyFont="1" applyBorder="1"/>
    <xf numFmtId="0" fontId="0" fillId="0" borderId="0" xfId="0" applyAlignment="1">
      <alignment wrapText="1"/>
    </xf>
    <xf numFmtId="0" fontId="1" fillId="3" borderId="2" xfId="1" applyFill="1" applyBorder="1" applyAlignment="1">
      <alignment wrapText="1"/>
    </xf>
    <xf numFmtId="0" fontId="1" fillId="2" borderId="2" xfId="1" applyFill="1" applyBorder="1" applyAlignment="1">
      <alignment wrapText="1"/>
    </xf>
    <xf numFmtId="0" fontId="6" fillId="0" borderId="2" xfId="0" applyFont="1" applyBorder="1" applyAlignment="1">
      <alignment wrapText="1"/>
    </xf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" fontId="0" fillId="0" borderId="0" xfId="0" applyNumberFormat="1"/>
    <xf numFmtId="1" fontId="3" fillId="0" borderId="1" xfId="0" applyNumberFormat="1" applyFont="1" applyBorder="1"/>
    <xf numFmtId="1" fontId="0" fillId="4" borderId="2" xfId="0" applyNumberFormat="1" applyFill="1" applyBorder="1"/>
    <xf numFmtId="1" fontId="0" fillId="5" borderId="2" xfId="0" applyNumberFormat="1" applyFill="1" applyBorder="1"/>
    <xf numFmtId="1" fontId="0" fillId="0" borderId="0" xfId="0" applyNumberFormat="1" applyAlignment="1">
      <alignment wrapText="1"/>
    </xf>
    <xf numFmtId="1" fontId="6" fillId="0" borderId="2" xfId="0" applyNumberFormat="1" applyFont="1" applyBorder="1" applyAlignment="1">
      <alignment wrapText="1"/>
    </xf>
    <xf numFmtId="0" fontId="8" fillId="6" borderId="3" xfId="0" applyFont="1" applyFill="1" applyBorder="1" applyAlignment="1">
      <alignment wrapText="1"/>
    </xf>
    <xf numFmtId="0" fontId="1" fillId="3" borderId="5" xfId="1" applyFill="1" applyBorder="1" applyAlignment="1">
      <alignment wrapText="1"/>
    </xf>
    <xf numFmtId="0" fontId="1" fillId="2" borderId="5" xfId="1" applyFill="1" applyBorder="1" applyAlignment="1">
      <alignment wrapText="1"/>
    </xf>
    <xf numFmtId="0" fontId="8" fillId="6" borderId="4" xfId="0" applyFont="1" applyFill="1" applyBorder="1" applyAlignment="1">
      <alignment wrapText="1"/>
    </xf>
    <xf numFmtId="6" fontId="5" fillId="3" borderId="6" xfId="0" applyNumberFormat="1" applyFont="1" applyFill="1" applyBorder="1"/>
    <xf numFmtId="6" fontId="5" fillId="2" borderId="6" xfId="0" applyNumberFormat="1" applyFont="1" applyFill="1" applyBorder="1"/>
    <xf numFmtId="0" fontId="2" fillId="0" borderId="0" xfId="0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2">
    <dxf>
      <numFmt numFmtId="34" formatCode="_(&quot;$&quot;* #,##0.00_);_(&quot;$&quot;* \(#,##0.00\);_(&quot;$&quot;* &quot;-&quot;??_);_(@_)"/>
    </dxf>
    <dxf>
      <fill>
        <patternFill patternType="solid">
          <fgColor indexed="64"/>
          <bgColor rgb="FFF9F9F9"/>
        </patternFill>
      </fill>
      <border diagonalUp="0" diagonalDown="0">
        <left/>
        <right/>
        <top style="thin">
          <color rgb="FFD0D0D0"/>
        </top>
        <bottom/>
        <vertical/>
        <horizontal/>
      </border>
    </dxf>
    <dxf>
      <numFmt numFmtId="10" formatCode="&quot;$&quot;#,##0_);[Red]\(&quot;$&quot;#,##0\)"/>
      <fill>
        <patternFill patternType="solid">
          <fgColor indexed="64"/>
          <bgColor rgb="FFF9F9F9"/>
        </patternFill>
      </fill>
      <border diagonalUp="0" diagonalDown="0">
        <left/>
        <right/>
        <top style="thin">
          <color rgb="FFD0D0D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ptos Narrow"/>
        <family val="2"/>
        <scheme val="minor"/>
      </font>
      <numFmt numFmtId="10" formatCode="&quot;$&quot;#,##0_);[Red]\(&quot;$&quot;#,##0\)"/>
      <fill>
        <patternFill patternType="solid">
          <fgColor indexed="64"/>
          <bgColor rgb="FFF9F9F9"/>
        </patternFill>
      </fill>
      <border diagonalUp="0" diagonalDown="0">
        <left/>
        <right/>
        <top style="thin">
          <color rgb="FFD0D0D0"/>
        </top>
        <bottom/>
        <vertical/>
        <horizontal/>
      </border>
    </dxf>
    <dxf>
      <fill>
        <patternFill patternType="solid">
          <fgColor indexed="64"/>
          <bgColor rgb="FFF9F9F9"/>
        </patternFill>
      </fill>
      <border diagonalUp="0" diagonalDown="0">
        <left/>
        <right/>
        <top style="thin">
          <color rgb="FFD0D0D0"/>
        </top>
        <bottom/>
        <vertical/>
        <horizontal/>
      </border>
    </dxf>
    <dxf>
      <numFmt numFmtId="10" formatCode="&quot;$&quot;#,##0_);[Red]\(&quot;$&quot;#,##0\)"/>
      <fill>
        <patternFill patternType="solid">
          <fgColor indexed="64"/>
          <bgColor rgb="FFF1F1F1"/>
        </patternFill>
      </fill>
      <border diagonalUp="0" diagonalDown="0">
        <left/>
        <right/>
        <top style="thin">
          <color rgb="FFD0D0D0"/>
        </top>
        <bottom/>
        <vertical/>
        <horizontal/>
      </border>
    </dxf>
    <dxf>
      <fill>
        <patternFill patternType="solid">
          <fgColor indexed="64"/>
          <bgColor rgb="FFF9F9F9"/>
        </patternFill>
      </fill>
      <border diagonalUp="0" diagonalDown="0">
        <left/>
        <right/>
        <top style="thin">
          <color rgb="FFD0D0D0"/>
        </top>
        <bottom/>
        <vertical/>
        <horizontal/>
      </border>
    </dxf>
    <dxf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D0D0D0"/>
        </top>
        <bottom/>
        <vertical/>
        <horizontal/>
      </border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border outline="0">
        <bottom style="thin">
          <color rgb="FF1111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Set'!$E$2</c:f>
              <c:strCache>
                <c:ptCount val="1"/>
                <c:pt idx="0">
                  <c:v>Theaters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'Data Set'!$A$3:$A$71</c:f>
              <c:strCache>
                <c:ptCount val="69"/>
                <c:pt idx="0">
                  <c:v>Weapons</c:v>
                </c:pt>
                <c:pt idx="1">
                  <c:v>Jaws</c:v>
                </c:pt>
                <c:pt idx="2">
                  <c:v>Caught Stealing</c:v>
                </c:pt>
                <c:pt idx="3">
                  <c:v>Freakier Friday</c:v>
                </c:pt>
                <c:pt idx="4">
                  <c:v>The Roses</c:v>
                </c:pt>
                <c:pt idx="5">
                  <c:v>The Fantastic Four: First Steps</c:v>
                </c:pt>
                <c:pt idx="6">
                  <c:v>The Bad Guys 2</c:v>
                </c:pt>
                <c:pt idx="7">
                  <c:v>Superman</c:v>
                </c:pt>
                <c:pt idx="8">
                  <c:v>Nobody 2</c:v>
                </c:pt>
                <c:pt idx="9">
                  <c:v>The Naked Gun</c:v>
                </c:pt>
                <c:pt idx="10">
                  <c:v>The Toxic Avenger Unrated</c:v>
                </c:pt>
                <c:pt idx="11">
                  <c:v>Jurassic World Rebirth</c:v>
                </c:pt>
                <c:pt idx="12">
                  <c:v>F1: The Movie</c:v>
                </c:pt>
                <c:pt idx="13">
                  <c:v>Lilo &amp; Stitch</c:v>
                </c:pt>
                <c:pt idx="14">
                  <c:v>Honey Don’t</c:v>
                </c:pt>
                <c:pt idx="15">
                  <c:v>Relay</c:v>
                </c:pt>
                <c:pt idx="16">
                  <c:v>Ne Zha 2</c:v>
                </c:pt>
                <c:pt idx="17">
                  <c:v>Together</c:v>
                </c:pt>
                <c:pt idx="18">
                  <c:v>Splitsville</c:v>
                </c:pt>
                <c:pt idx="19">
                  <c:v>How to Train Your Dragon</c:v>
                </c:pt>
                <c:pt idx="20">
                  <c:v>Eden</c:v>
                </c:pt>
                <c:pt idx="21">
                  <c:v>Shin Godzilla</c:v>
                </c:pt>
                <c:pt idx="22">
                  <c:v>Lurker</c:v>
                </c:pt>
                <c:pt idx="23">
                  <c:v>A Little Prayer</c:v>
                </c:pt>
                <c:pt idx="24">
                  <c:v>Sketch</c:v>
                </c:pt>
                <c:pt idx="25">
                  <c:v>Sharing Aloha</c:v>
                </c:pt>
                <c:pt idx="26">
                  <c:v>Love, Brooklyn</c:v>
                </c:pt>
                <c:pt idx="27">
                  <c:v>It’s Never Over, Jeff Buckley</c:v>
                </c:pt>
                <c:pt idx="28">
                  <c:v>Ran</c:v>
                </c:pt>
                <c:pt idx="29">
                  <c:v>CatVideoFest 2025</c:v>
                </c:pt>
                <c:pt idx="30">
                  <c:v>Elio</c:v>
                </c:pt>
                <c:pt idx="31">
                  <c:v>East of Wall</c:v>
                </c:pt>
                <c:pt idx="32">
                  <c:v>Bad Shabbos</c:v>
                </c:pt>
                <c:pt idx="33">
                  <c:v>Trust</c:v>
                </c:pt>
                <c:pt idx="34">
                  <c:v>Jane Austen Wrecked My Life</c:v>
                </c:pt>
                <c:pt idx="35">
                  <c:v>Boys Go to Jupiter</c:v>
                </c:pt>
                <c:pt idx="36">
                  <c:v>Pools</c:v>
                </c:pt>
                <c:pt idx="37">
                  <c:v>Don’t Let’s Go to the Dogs Tonight</c:v>
                </c:pt>
                <c:pt idx="38">
                  <c:v>My Mother’s Wedding</c:v>
                </c:pt>
                <c:pt idx="39">
                  <c:v>Seeds</c:v>
                </c:pt>
                <c:pt idx="40">
                  <c:v>Diva</c:v>
                </c:pt>
                <c:pt idx="41">
                  <c:v>Cloud</c:v>
                </c:pt>
                <c:pt idx="42">
                  <c:v>Shari &amp; Lamb Chop</c:v>
                </c:pt>
                <c:pt idx="43">
                  <c:v>Shoshana</c:v>
                </c:pt>
                <c:pt idx="44">
                  <c:v>Night of the Juggler</c:v>
                </c:pt>
                <c:pt idx="45">
                  <c:v>Hot Spring Shark Attack</c:v>
                </c:pt>
                <c:pt idx="46">
                  <c:v>Folktales</c:v>
                </c:pt>
                <c:pt idx="47">
                  <c:v>Hearts of Darkness: A Filmmaker's Apocalypse</c:v>
                </c:pt>
                <c:pt idx="48">
                  <c:v>Marlee Matlin: Not Alone Anymore</c:v>
                </c:pt>
                <c:pt idx="49">
                  <c:v>Souleymane’s Story</c:v>
                </c:pt>
                <c:pt idx="50">
                  <c:v>Dogtooth</c:v>
                </c:pt>
                <c:pt idx="51">
                  <c:v>Oh, Hi!</c:v>
                </c:pt>
                <c:pt idx="52">
                  <c:v>Can’t Let It Go</c:v>
                </c:pt>
                <c:pt idx="53">
                  <c:v>Suspended Time</c:v>
                </c:pt>
                <c:pt idx="54">
                  <c:v>Hell House LLC: Lineage</c:v>
                </c:pt>
                <c:pt idx="55">
                  <c:v>Eli Roth Presents: Jimmy and Stiggs</c:v>
                </c:pt>
                <c:pt idx="56">
                  <c:v>Eephus</c:v>
                </c:pt>
                <c:pt idx="57">
                  <c:v>Pavements</c:v>
                </c:pt>
                <c:pt idx="58">
                  <c:v>The Sacrifice</c:v>
                </c:pt>
                <c:pt idx="59">
                  <c:v>The Annihilation of Fish</c:v>
                </c:pt>
                <c:pt idx="60">
                  <c:v>Pariah</c:v>
                </c:pt>
                <c:pt idx="61">
                  <c:v>Monk in Pieces</c:v>
                </c:pt>
                <c:pt idx="62">
                  <c:v>The Boondock Saints</c:v>
                </c:pt>
                <c:pt idx="63">
                  <c:v>Familiar Touch</c:v>
                </c:pt>
                <c:pt idx="64">
                  <c:v>Kill The Jockey</c:v>
                </c:pt>
                <c:pt idx="65">
                  <c:v>In the Fire of War</c:v>
                </c:pt>
                <c:pt idx="66">
                  <c:v>Hung Up on a Dream: The Zombies Documentary</c:v>
                </c:pt>
                <c:pt idx="67">
                  <c:v>Hema Hema: Sing Me a Song While I Wait</c:v>
                </c:pt>
                <c:pt idx="68">
                  <c:v>A Photographic Memory</c:v>
                </c:pt>
              </c:strCache>
            </c:strRef>
          </c:cat>
          <c:val>
            <c:numRef>
              <c:f>'Data Set'!$E$3:$E$71</c:f>
              <c:numCache>
                <c:formatCode>#,##0</c:formatCode>
                <c:ptCount val="69"/>
                <c:pt idx="0">
                  <c:v>3416</c:v>
                </c:pt>
                <c:pt idx="1">
                  <c:v>3200</c:v>
                </c:pt>
                <c:pt idx="2">
                  <c:v>3578</c:v>
                </c:pt>
                <c:pt idx="3">
                  <c:v>3475</c:v>
                </c:pt>
                <c:pt idx="4">
                  <c:v>2700</c:v>
                </c:pt>
                <c:pt idx="5">
                  <c:v>2785</c:v>
                </c:pt>
                <c:pt idx="6">
                  <c:v>3024</c:v>
                </c:pt>
                <c:pt idx="7">
                  <c:v>1824</c:v>
                </c:pt>
                <c:pt idx="8">
                  <c:v>2502</c:v>
                </c:pt>
                <c:pt idx="9">
                  <c:v>1744</c:v>
                </c:pt>
                <c:pt idx="10">
                  <c:v>1995</c:v>
                </c:pt>
                <c:pt idx="11">
                  <c:v>1352</c:v>
                </c:pt>
                <c:pt idx="12" formatCode="General">
                  <c:v>728</c:v>
                </c:pt>
                <c:pt idx="13">
                  <c:v>2440</c:v>
                </c:pt>
                <c:pt idx="14">
                  <c:v>1338</c:v>
                </c:pt>
                <c:pt idx="15">
                  <c:v>1218</c:v>
                </c:pt>
                <c:pt idx="16" formatCode="General">
                  <c:v>756</c:v>
                </c:pt>
                <c:pt idx="17" formatCode="General">
                  <c:v>204</c:v>
                </c:pt>
                <c:pt idx="18" formatCode="General">
                  <c:v>28</c:v>
                </c:pt>
                <c:pt idx="19" formatCode="General">
                  <c:v>217</c:v>
                </c:pt>
                <c:pt idx="20" formatCode="General">
                  <c:v>453</c:v>
                </c:pt>
                <c:pt idx="21" formatCode="General">
                  <c:v>419</c:v>
                </c:pt>
                <c:pt idx="22" formatCode="General">
                  <c:v>19</c:v>
                </c:pt>
                <c:pt idx="23" formatCode="General">
                  <c:v>70</c:v>
                </c:pt>
                <c:pt idx="24" formatCode="General">
                  <c:v>200</c:v>
                </c:pt>
                <c:pt idx="25" formatCode="General">
                  <c:v>37</c:v>
                </c:pt>
                <c:pt idx="26" formatCode="General">
                  <c:v>1</c:v>
                </c:pt>
                <c:pt idx="27" formatCode="General">
                  <c:v>64</c:v>
                </c:pt>
                <c:pt idx="28" formatCode="General">
                  <c:v>31</c:v>
                </c:pt>
                <c:pt idx="29" formatCode="General">
                  <c:v>22</c:v>
                </c:pt>
                <c:pt idx="30" formatCode="General">
                  <c:v>35</c:v>
                </c:pt>
                <c:pt idx="31" formatCode="General">
                  <c:v>37</c:v>
                </c:pt>
                <c:pt idx="32" formatCode="General">
                  <c:v>20</c:v>
                </c:pt>
                <c:pt idx="33" formatCode="General">
                  <c:v>100</c:v>
                </c:pt>
                <c:pt idx="34" formatCode="General">
                  <c:v>6</c:v>
                </c:pt>
                <c:pt idx="35" formatCode="General">
                  <c:v>19</c:v>
                </c:pt>
                <c:pt idx="36" formatCode="General">
                  <c:v>3</c:v>
                </c:pt>
                <c:pt idx="37" formatCode="General">
                  <c:v>10</c:v>
                </c:pt>
                <c:pt idx="38" formatCode="General">
                  <c:v>21</c:v>
                </c:pt>
                <c:pt idx="39" formatCode="General">
                  <c:v>2</c:v>
                </c:pt>
                <c:pt idx="40" formatCode="General">
                  <c:v>3</c:v>
                </c:pt>
                <c:pt idx="41" formatCode="General">
                  <c:v>4</c:v>
                </c:pt>
                <c:pt idx="42" formatCode="General">
                  <c:v>6</c:v>
                </c:pt>
                <c:pt idx="43" formatCode="General">
                  <c:v>8</c:v>
                </c:pt>
                <c:pt idx="44" formatCode="General">
                  <c:v>2</c:v>
                </c:pt>
                <c:pt idx="45" formatCode="General">
                  <c:v>3</c:v>
                </c:pt>
                <c:pt idx="46" formatCode="General">
                  <c:v>8</c:v>
                </c:pt>
                <c:pt idx="47" formatCode="General">
                  <c:v>3</c:v>
                </c:pt>
                <c:pt idx="48" formatCode="General">
                  <c:v>1</c:v>
                </c:pt>
                <c:pt idx="49" formatCode="General">
                  <c:v>2</c:v>
                </c:pt>
                <c:pt idx="50" formatCode="General">
                  <c:v>1</c:v>
                </c:pt>
                <c:pt idx="51" formatCode="General">
                  <c:v>5</c:v>
                </c:pt>
                <c:pt idx="52" formatCode="General">
                  <c:v>1</c:v>
                </c:pt>
                <c:pt idx="53" formatCode="General">
                  <c:v>2</c:v>
                </c:pt>
                <c:pt idx="54" formatCode="General">
                  <c:v>2</c:v>
                </c:pt>
                <c:pt idx="55" formatCode="General">
                  <c:v>1</c:v>
                </c:pt>
                <c:pt idx="56" formatCode="General">
                  <c:v>1</c:v>
                </c:pt>
                <c:pt idx="57" formatCode="General">
                  <c:v>1</c:v>
                </c:pt>
                <c:pt idx="58" formatCode="General">
                  <c:v>1</c:v>
                </c:pt>
                <c:pt idx="59" formatCode="General">
                  <c:v>1</c:v>
                </c:pt>
                <c:pt idx="60" formatCode="General">
                  <c:v>1</c:v>
                </c:pt>
                <c:pt idx="61" formatCode="General">
                  <c:v>2</c:v>
                </c:pt>
                <c:pt idx="62" formatCode="General">
                  <c:v>1</c:v>
                </c:pt>
                <c:pt idx="63" formatCode="General">
                  <c:v>2</c:v>
                </c:pt>
                <c:pt idx="64" formatCode="General">
                  <c:v>1</c:v>
                </c:pt>
                <c:pt idx="65" formatCode="General">
                  <c:v>1</c:v>
                </c:pt>
                <c:pt idx="66" formatCode="General">
                  <c:v>1</c:v>
                </c:pt>
                <c:pt idx="67" formatCode="General">
                  <c:v>1</c:v>
                </c:pt>
                <c:pt idx="68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8-483F-95B8-B5D2B434E25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465928"/>
        <c:axId val="920467976"/>
      </c:barChart>
      <c:catAx>
        <c:axId val="92046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67976"/>
        <c:crosses val="autoZero"/>
        <c:auto val="1"/>
        <c:lblAlgn val="ctr"/>
        <c:lblOffset val="100"/>
        <c:noMultiLvlLbl val="0"/>
      </c:catAx>
      <c:valAx>
        <c:axId val="92046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6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Theater Trends .xlsx]Top 10 Movies!PivotTable1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Movies for the</a:t>
            </a:r>
            <a:r>
              <a:rPr lang="en-US" baseline="0"/>
              <a:t> Week of 8/29/25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Movies'!$B$3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'Top 10 Movies'!$A$4:$A$14</c:f>
              <c:strCache>
                <c:ptCount val="10"/>
                <c:pt idx="0">
                  <c:v>The Bad Guys 2</c:v>
                </c:pt>
                <c:pt idx="1">
                  <c:v>Freakier Friday</c:v>
                </c:pt>
                <c:pt idx="2">
                  <c:v>Weapons</c:v>
                </c:pt>
                <c:pt idx="3">
                  <c:v>F1: The Movie</c:v>
                </c:pt>
                <c:pt idx="4">
                  <c:v>How to Train Your Dragon</c:v>
                </c:pt>
                <c:pt idx="5">
                  <c:v>The Fantastic Four: First Steps</c:v>
                </c:pt>
                <c:pt idx="6">
                  <c:v>Jaws</c:v>
                </c:pt>
                <c:pt idx="7">
                  <c:v>Jurassic World Rebirth</c:v>
                </c:pt>
                <c:pt idx="8">
                  <c:v>Superman</c:v>
                </c:pt>
                <c:pt idx="9">
                  <c:v>Lilo &amp; Stitch</c:v>
                </c:pt>
              </c:strCache>
            </c:strRef>
          </c:cat>
          <c:val>
            <c:numRef>
              <c:f>'Top 10 Movies'!$B$4:$B$14</c:f>
              <c:numCache>
                <c:formatCode>"$"#,##0_);[Red]\("$"#,##0\)</c:formatCode>
                <c:ptCount val="10"/>
                <c:pt idx="0">
                  <c:v>73062085</c:v>
                </c:pt>
                <c:pt idx="1">
                  <c:v>80697936</c:v>
                </c:pt>
                <c:pt idx="2">
                  <c:v>132659399</c:v>
                </c:pt>
                <c:pt idx="3">
                  <c:v>187852423</c:v>
                </c:pt>
                <c:pt idx="4">
                  <c:v>262909095</c:v>
                </c:pt>
                <c:pt idx="5">
                  <c:v>264835533</c:v>
                </c:pt>
                <c:pt idx="6">
                  <c:v>281898790</c:v>
                </c:pt>
                <c:pt idx="7">
                  <c:v>337919055</c:v>
                </c:pt>
                <c:pt idx="8">
                  <c:v>351033773</c:v>
                </c:pt>
                <c:pt idx="9">
                  <c:v>422985124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E-45DB-96DC-A4D575888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921919"/>
        <c:axId val="2017918079"/>
      </c:barChart>
      <c:catAx>
        <c:axId val="201792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18079"/>
        <c:crosses val="autoZero"/>
        <c:auto val="1"/>
        <c:lblAlgn val="ctr"/>
        <c:lblOffset val="100"/>
        <c:noMultiLvlLbl val="0"/>
      </c:catAx>
      <c:valAx>
        <c:axId val="20179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2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Theater Trends .xlsx]Top 10 Distributors!PivotTable4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Gross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Distributors'!$B$2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Distributors'!$A$3:$A$13</c:f>
              <c:strCache>
                <c:ptCount val="10"/>
                <c:pt idx="0">
                  <c:v>Universal</c:v>
                </c:pt>
                <c:pt idx="1">
                  <c:v>Walt Disney</c:v>
                </c:pt>
                <c:pt idx="2">
                  <c:v>Warner Bros.</c:v>
                </c:pt>
                <c:pt idx="3">
                  <c:v>Paramount Pi…</c:v>
                </c:pt>
                <c:pt idx="4">
                  <c:v>A24</c:v>
                </c:pt>
                <c:pt idx="5">
                  <c:v>Neon</c:v>
                </c:pt>
                <c:pt idx="6">
                  <c:v>Angel Studios</c:v>
                </c:pt>
                <c:pt idx="7">
                  <c:v>Sony Pictures</c:v>
                </c:pt>
                <c:pt idx="8">
                  <c:v>Rialto Pictures</c:v>
                </c:pt>
                <c:pt idx="9">
                  <c:v>Searchlight …</c:v>
                </c:pt>
              </c:strCache>
            </c:strRef>
          </c:cat>
          <c:val>
            <c:numRef>
              <c:f>'Top 10 Distributors'!$B$3:$B$13</c:f>
              <c:numCache>
                <c:formatCode>"$"#,##0_);[Red]\("$"#,##0\)</c:formatCode>
                <c:ptCount val="10"/>
                <c:pt idx="0">
                  <c:v>975913195</c:v>
                </c:pt>
                <c:pt idx="1">
                  <c:v>841492739</c:v>
                </c:pt>
                <c:pt idx="2">
                  <c:v>671545595</c:v>
                </c:pt>
                <c:pt idx="3">
                  <c:v>50837026</c:v>
                </c:pt>
                <c:pt idx="4">
                  <c:v>23251218</c:v>
                </c:pt>
                <c:pt idx="5">
                  <c:v>21450438</c:v>
                </c:pt>
                <c:pt idx="6">
                  <c:v>8017513</c:v>
                </c:pt>
                <c:pt idx="7">
                  <c:v>7803925</c:v>
                </c:pt>
                <c:pt idx="8">
                  <c:v>7416985</c:v>
                </c:pt>
                <c:pt idx="9">
                  <c:v>6265264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6-4C50-9453-DA7333EBC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1257952"/>
        <c:axId val="598386240"/>
      </c:barChart>
      <c:catAx>
        <c:axId val="61125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86240"/>
        <c:crosses val="autoZero"/>
        <c:auto val="1"/>
        <c:lblAlgn val="ctr"/>
        <c:lblOffset val="100"/>
        <c:noMultiLvlLbl val="0"/>
      </c:catAx>
      <c:valAx>
        <c:axId val="5983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2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Theater Trends .xlsx]Distributor Market Share!PivotTable2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Distributor</a:t>
            </a:r>
            <a:r>
              <a:rPr lang="en-US" baseline="0"/>
              <a:t> Market Share for Weekend of 8/29/25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'Distributor Market Share'!$B$3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A4-4062-91B2-86DE80ABE3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A4-4062-91B2-86DE80ABE3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A4-4062-91B2-86DE80ABE3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A4-4062-91B2-86DE80ABE3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A4-4062-91B2-86DE80ABE3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A4-4062-91B2-86DE80ABE3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EA4-4062-91B2-86DE80ABE3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EA4-4062-91B2-86DE80ABE3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EA4-4062-91B2-86DE80ABE35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EA4-4062-91B2-86DE80ABE35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EA4-4062-91B2-86DE80ABE35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EA4-4062-91B2-86DE80ABE35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EA4-4062-91B2-86DE80ABE35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EA4-4062-91B2-86DE80ABE35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EA4-4062-91B2-86DE80ABE35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EA4-4062-91B2-86DE80ABE35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EA4-4062-91B2-86DE80ABE35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EA4-4062-91B2-86DE80ABE35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EA4-4062-91B2-86DE80ABE35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EA4-4062-91B2-86DE80ABE35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EA4-4062-91B2-86DE80ABE35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EA4-4062-91B2-86DE80ABE35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EA4-4062-91B2-86DE80ABE35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EA4-4062-91B2-86DE80ABE35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EA4-4062-91B2-86DE80ABE35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EA4-4062-91B2-86DE80ABE35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EA4-4062-91B2-86DE80ABE35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EA4-4062-91B2-86DE80ABE35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EA4-4062-91B2-86DE80ABE35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EA4-4062-91B2-86DE80ABE35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EA4-4062-91B2-86DE80ABE35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EA4-4062-91B2-86DE80ABE35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EA4-4062-91B2-86DE80ABE35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EA4-4062-91B2-86DE80ABE35F}"/>
              </c:ext>
            </c:extLst>
          </c:dPt>
          <c:cat>
            <c:strRef>
              <c:f>'Distributor Market Share'!$A$4:$A$38</c:f>
              <c:strCache>
                <c:ptCount val="34"/>
                <c:pt idx="0">
                  <c:v>Universal</c:v>
                </c:pt>
                <c:pt idx="1">
                  <c:v>Warner Bros.</c:v>
                </c:pt>
                <c:pt idx="2">
                  <c:v>Walt Disney</c:v>
                </c:pt>
                <c:pt idx="3">
                  <c:v>Sony Pictures</c:v>
                </c:pt>
                <c:pt idx="4">
                  <c:v>Searchlight …</c:v>
                </c:pt>
                <c:pt idx="5">
                  <c:v>Paramount Pi…</c:v>
                </c:pt>
                <c:pt idx="6">
                  <c:v>Iconic/Cinev…</c:v>
                </c:pt>
                <c:pt idx="7">
                  <c:v>Focus Features</c:v>
                </c:pt>
                <c:pt idx="8">
                  <c:v>Neon</c:v>
                </c:pt>
                <c:pt idx="9">
                  <c:v>Bleecker Street</c:v>
                </c:pt>
                <c:pt idx="10">
                  <c:v>A24</c:v>
                </c:pt>
                <c:pt idx="11">
                  <c:v>Vertical Ent…</c:v>
                </c:pt>
                <c:pt idx="12">
                  <c:v>GKIDS</c:v>
                </c:pt>
                <c:pt idx="13">
                  <c:v>MUBI</c:v>
                </c:pt>
                <c:pt idx="14">
                  <c:v>Music Box Films</c:v>
                </c:pt>
                <c:pt idx="15">
                  <c:v>Angel Studios</c:v>
                </c:pt>
                <c:pt idx="16">
                  <c:v>Susan Tucket…</c:v>
                </c:pt>
                <c:pt idx="17">
                  <c:v>Greenwich</c:v>
                </c:pt>
                <c:pt idx="18">
                  <c:v>Sony Picture…</c:v>
                </c:pt>
                <c:pt idx="19">
                  <c:v>Magnolia Pic…</c:v>
                </c:pt>
                <c:pt idx="20">
                  <c:v>Rialto Pictures</c:v>
                </c:pt>
                <c:pt idx="21">
                  <c:v>Oscilloscope…</c:v>
                </c:pt>
                <c:pt idx="22">
                  <c:v>Menemsha Ent…</c:v>
                </c:pt>
                <c:pt idx="23">
                  <c:v>Republic Pic…</c:v>
                </c:pt>
                <c:pt idx="24">
                  <c:v>Cartuna</c:v>
                </c:pt>
                <c:pt idx="25">
                  <c:v>Circle Colle…</c:v>
                </c:pt>
                <c:pt idx="26">
                  <c:v>Kino Lorber</c:v>
                </c:pt>
                <c:pt idx="27">
                  <c:v>Janus Films</c:v>
                </c:pt>
                <c:pt idx="28">
                  <c:v>Utopia</c:v>
                </c:pt>
                <c:pt idx="29">
                  <c:v>Indican Pict…</c:v>
                </c:pt>
                <c:pt idx="30">
                  <c:v>Iconic Relea…</c:v>
                </c:pt>
                <c:pt idx="31">
                  <c:v>Orion Pictures</c:v>
                </c:pt>
                <c:pt idx="32">
                  <c:v>Dekanalog</c:v>
                </c:pt>
                <c:pt idx="33">
                  <c:v>Zeitgeist</c:v>
                </c:pt>
              </c:strCache>
            </c:strRef>
          </c:cat>
          <c:val>
            <c:numRef>
              <c:f>'Distributor Market Share'!$B$4:$B$38</c:f>
              <c:numCache>
                <c:formatCode>_("$"* #,##0.00_);_("$"* \(#,##0.00\);_("$"* "-"??_);_(@_)</c:formatCode>
                <c:ptCount val="34"/>
                <c:pt idx="0">
                  <c:v>17951890</c:v>
                </c:pt>
                <c:pt idx="1">
                  <c:v>14217750</c:v>
                </c:pt>
                <c:pt idx="2">
                  <c:v>12948270</c:v>
                </c:pt>
                <c:pt idx="3">
                  <c:v>7803925</c:v>
                </c:pt>
                <c:pt idx="4">
                  <c:v>6265264</c:v>
                </c:pt>
                <c:pt idx="5">
                  <c:v>1826859</c:v>
                </c:pt>
                <c:pt idx="6">
                  <c:v>1734359</c:v>
                </c:pt>
                <c:pt idx="7">
                  <c:v>902040</c:v>
                </c:pt>
                <c:pt idx="8">
                  <c:v>378734</c:v>
                </c:pt>
                <c:pt idx="9">
                  <c:v>351026</c:v>
                </c:pt>
                <c:pt idx="10">
                  <c:v>261076</c:v>
                </c:pt>
                <c:pt idx="11">
                  <c:v>147070</c:v>
                </c:pt>
                <c:pt idx="12">
                  <c:v>120743</c:v>
                </c:pt>
                <c:pt idx="13">
                  <c:v>113129</c:v>
                </c:pt>
                <c:pt idx="14">
                  <c:v>72684</c:v>
                </c:pt>
                <c:pt idx="15">
                  <c:v>67160</c:v>
                </c:pt>
                <c:pt idx="16">
                  <c:v>58337</c:v>
                </c:pt>
                <c:pt idx="17">
                  <c:v>51796</c:v>
                </c:pt>
                <c:pt idx="18">
                  <c:v>45320</c:v>
                </c:pt>
                <c:pt idx="19">
                  <c:v>39790</c:v>
                </c:pt>
                <c:pt idx="20">
                  <c:v>38824</c:v>
                </c:pt>
                <c:pt idx="21">
                  <c:v>31683</c:v>
                </c:pt>
                <c:pt idx="22">
                  <c:v>19658</c:v>
                </c:pt>
                <c:pt idx="23">
                  <c:v>17901</c:v>
                </c:pt>
                <c:pt idx="24">
                  <c:v>15652</c:v>
                </c:pt>
                <c:pt idx="25">
                  <c:v>13045</c:v>
                </c:pt>
                <c:pt idx="26">
                  <c:v>9432</c:v>
                </c:pt>
                <c:pt idx="27">
                  <c:v>2746</c:v>
                </c:pt>
                <c:pt idx="28">
                  <c:v>2735</c:v>
                </c:pt>
                <c:pt idx="29">
                  <c:v>1695</c:v>
                </c:pt>
                <c:pt idx="30">
                  <c:v>1507</c:v>
                </c:pt>
                <c:pt idx="31">
                  <c:v>451</c:v>
                </c:pt>
                <c:pt idx="32">
                  <c:v>67</c:v>
                </c:pt>
                <c:pt idx="3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4-1B47-B7CA-61FE0FC08A8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'Theater Performance'!$C$1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'Theater Performance'!$B$2:$B$74</c:f>
              <c:strCache>
                <c:ptCount val="11"/>
                <c:pt idx="0">
                  <c:v>Per
Theater</c:v>
                </c:pt>
                <c:pt idx="1">
                  <c:v>$3,065 </c:v>
                </c:pt>
                <c:pt idx="2">
                  <c:v>$3,013 </c:v>
                </c:pt>
                <c:pt idx="3">
                  <c:v>$2,181 </c:v>
                </c:pt>
                <c:pt idx="4">
                  <c:v>$1,942 </c:v>
                </c:pt>
                <c:pt idx="5">
                  <c:v>$2,320 </c:v>
                </c:pt>
                <c:pt idx="6">
                  <c:v>$1,799 </c:v>
                </c:pt>
                <c:pt idx="7">
                  <c:v>$1,572 </c:v>
                </c:pt>
                <c:pt idx="8">
                  <c:v>$1,409 </c:v>
                </c:pt>
                <c:pt idx="9">
                  <c:v>$756 </c:v>
                </c:pt>
                <c:pt idx="10">
                  <c:v>$1,048 </c:v>
                </c:pt>
              </c:strCache>
            </c:strRef>
          </c:xVal>
          <c:yVal>
            <c:numRef>
              <c:f>'Theater Performance'!$C$2:$C$74</c:f>
              <c:numCache>
                <c:formatCode>0</c:formatCode>
                <c:ptCount val="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3-744E-B89F-F7AF0D0E3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411120"/>
        <c:axId val="2121038768"/>
      </c:scatterChart>
      <c:valAx>
        <c:axId val="211841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38768"/>
        <c:crosses val="autoZero"/>
        <c:crossBetween val="midCat"/>
      </c:valAx>
      <c:valAx>
        <c:axId val="212103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41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 Theater</a:t>
            </a:r>
            <a:r>
              <a:rPr lang="en-US" baseline="0"/>
              <a:t> Performance for Weekend of 8/29/25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'Theater Performance'!$B$2</c:f>
              <c:strCache>
                <c:ptCount val="1"/>
                <c:pt idx="0">
                  <c:v>Per
Theater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'Theater Performance'!$A$3:$A$12</c:f>
              <c:strCache>
                <c:ptCount val="10"/>
                <c:pt idx="0">
                  <c:v>Weapons</c:v>
                </c:pt>
                <c:pt idx="1">
                  <c:v>Jaws</c:v>
                </c:pt>
                <c:pt idx="2">
                  <c:v>Caught Stealing</c:v>
                </c:pt>
                <c:pt idx="3">
                  <c:v>Freakier Friday</c:v>
                </c:pt>
                <c:pt idx="4">
                  <c:v>The Roses</c:v>
                </c:pt>
                <c:pt idx="5">
                  <c:v>The Fantastic Four: First Steps</c:v>
                </c:pt>
                <c:pt idx="6">
                  <c:v>The Bad Guys 2</c:v>
                </c:pt>
                <c:pt idx="7">
                  <c:v>Superman</c:v>
                </c:pt>
                <c:pt idx="8">
                  <c:v>Nobody 2</c:v>
                </c:pt>
                <c:pt idx="9">
                  <c:v>The Naked Gun</c:v>
                </c:pt>
              </c:strCache>
            </c:strRef>
          </c:cat>
          <c:val>
            <c:numRef>
              <c:f>'Theater Performance'!$B$3:$B$12</c:f>
              <c:numCache>
                <c:formatCode>"$"#,##0_);[Red]\("$"#,##0\)</c:formatCode>
                <c:ptCount val="10"/>
                <c:pt idx="0">
                  <c:v>3065</c:v>
                </c:pt>
                <c:pt idx="1">
                  <c:v>3013</c:v>
                </c:pt>
                <c:pt idx="2">
                  <c:v>2181</c:v>
                </c:pt>
                <c:pt idx="3">
                  <c:v>1942</c:v>
                </c:pt>
                <c:pt idx="4">
                  <c:v>2320</c:v>
                </c:pt>
                <c:pt idx="5">
                  <c:v>1799</c:v>
                </c:pt>
                <c:pt idx="6">
                  <c:v>1572</c:v>
                </c:pt>
                <c:pt idx="7">
                  <c:v>1409</c:v>
                </c:pt>
                <c:pt idx="8">
                  <c:v>756</c:v>
                </c:pt>
                <c:pt idx="9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F-914A-AD0D-6E4A0BE2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953631"/>
        <c:axId val="509167487"/>
      </c:barChart>
      <c:catAx>
        <c:axId val="50895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67487"/>
        <c:crosses val="autoZero"/>
        <c:auto val="1"/>
        <c:lblAlgn val="ctr"/>
        <c:lblOffset val="100"/>
        <c:noMultiLvlLbl val="0"/>
      </c:catAx>
      <c:valAx>
        <c:axId val="50916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5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Theater Trends .xlsx]Theaters vs Gross!PivotTable3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Average Theaters and Average Total Gross</a:t>
            </a:r>
          </a:p>
        </c:rich>
      </c:tx>
      <c:layout>
        <c:manualLayout>
          <c:xMode val="edge"/>
          <c:yMode val="edge"/>
          <c:x val="0.14506977224254172"/>
          <c:y val="2.87689356533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'Theaters vs Gross'!$B$2</c:f>
              <c:strCache>
                <c:ptCount val="1"/>
                <c:pt idx="0">
                  <c:v>Average of Theaters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'Theaters vs Gross'!$A$3:$A$13</c:f>
              <c:strCache>
                <c:ptCount val="10"/>
                <c:pt idx="0">
                  <c:v>Lilo &amp; Stitch</c:v>
                </c:pt>
                <c:pt idx="1">
                  <c:v>Superman</c:v>
                </c:pt>
                <c:pt idx="2">
                  <c:v>Jurassic World Rebirth</c:v>
                </c:pt>
                <c:pt idx="3">
                  <c:v>Jaws</c:v>
                </c:pt>
                <c:pt idx="4">
                  <c:v>The Fantastic Four: First Steps</c:v>
                </c:pt>
                <c:pt idx="5">
                  <c:v>How to Train Your Dragon</c:v>
                </c:pt>
                <c:pt idx="6">
                  <c:v>F1: The Movie</c:v>
                </c:pt>
                <c:pt idx="7">
                  <c:v>Weapons</c:v>
                </c:pt>
                <c:pt idx="8">
                  <c:v>Freakier Friday</c:v>
                </c:pt>
                <c:pt idx="9">
                  <c:v>The Bad Guys 2</c:v>
                </c:pt>
              </c:strCache>
            </c:strRef>
          </c:cat>
          <c:val>
            <c:numRef>
              <c:f>'Theaters vs Gross'!$B$3:$B$13</c:f>
              <c:numCache>
                <c:formatCode>General</c:formatCode>
                <c:ptCount val="10"/>
                <c:pt idx="0">
                  <c:v>2440</c:v>
                </c:pt>
                <c:pt idx="1">
                  <c:v>1824</c:v>
                </c:pt>
                <c:pt idx="2">
                  <c:v>1352</c:v>
                </c:pt>
                <c:pt idx="3">
                  <c:v>3200</c:v>
                </c:pt>
                <c:pt idx="4">
                  <c:v>2785</c:v>
                </c:pt>
                <c:pt idx="5">
                  <c:v>217</c:v>
                </c:pt>
                <c:pt idx="6">
                  <c:v>728</c:v>
                </c:pt>
                <c:pt idx="7">
                  <c:v>3416</c:v>
                </c:pt>
                <c:pt idx="8">
                  <c:v>3475</c:v>
                </c:pt>
                <c:pt idx="9">
                  <c:v>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2-4E9A-8575-6F35C12CB0CE}"/>
            </c:ext>
          </c:extLst>
        </c:ser>
        <c:ser>
          <c:idx val="1"/>
          <c:order val="1"/>
          <c:tx>
            <c:strRef>
              <c:f>'Theaters vs Gross'!$C$2</c:f>
              <c:strCache>
                <c:ptCount val="1"/>
                <c:pt idx="0">
                  <c:v>Average of TotalGross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'Theaters vs Gross'!$A$3:$A$13</c:f>
              <c:strCache>
                <c:ptCount val="10"/>
                <c:pt idx="0">
                  <c:v>Lilo &amp; Stitch</c:v>
                </c:pt>
                <c:pt idx="1">
                  <c:v>Superman</c:v>
                </c:pt>
                <c:pt idx="2">
                  <c:v>Jurassic World Rebirth</c:v>
                </c:pt>
                <c:pt idx="3">
                  <c:v>Jaws</c:v>
                </c:pt>
                <c:pt idx="4">
                  <c:v>The Fantastic Four: First Steps</c:v>
                </c:pt>
                <c:pt idx="5">
                  <c:v>How to Train Your Dragon</c:v>
                </c:pt>
                <c:pt idx="6">
                  <c:v>F1: The Movie</c:v>
                </c:pt>
                <c:pt idx="7">
                  <c:v>Weapons</c:v>
                </c:pt>
                <c:pt idx="8">
                  <c:v>Freakier Friday</c:v>
                </c:pt>
                <c:pt idx="9">
                  <c:v>The Bad Guys 2</c:v>
                </c:pt>
              </c:strCache>
            </c:strRef>
          </c:cat>
          <c:val>
            <c:numRef>
              <c:f>'Theaters vs Gross'!$C$3:$C$13</c:f>
              <c:numCache>
                <c:formatCode>"$"#,##0_);[Red]\("$"#,##0\)</c:formatCode>
                <c:ptCount val="10"/>
                <c:pt idx="0">
                  <c:v>422985124</c:v>
                </c:pt>
                <c:pt idx="1">
                  <c:v>351033773</c:v>
                </c:pt>
                <c:pt idx="2">
                  <c:v>337919055</c:v>
                </c:pt>
                <c:pt idx="3">
                  <c:v>281898790</c:v>
                </c:pt>
                <c:pt idx="4">
                  <c:v>264835533</c:v>
                </c:pt>
                <c:pt idx="5">
                  <c:v>262909095</c:v>
                </c:pt>
                <c:pt idx="6">
                  <c:v>187852423</c:v>
                </c:pt>
                <c:pt idx="7">
                  <c:v>132659399</c:v>
                </c:pt>
                <c:pt idx="8">
                  <c:v>80697936</c:v>
                </c:pt>
                <c:pt idx="9">
                  <c:v>73062085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2-4E9A-8575-6F35C12CB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224903"/>
        <c:axId val="966227463"/>
      </c:barChart>
      <c:catAx>
        <c:axId val="966224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27463"/>
        <c:crosses val="autoZero"/>
        <c:auto val="1"/>
        <c:lblAlgn val="ctr"/>
        <c:lblOffset val="100"/>
        <c:noMultiLvlLbl val="0"/>
      </c:catAx>
      <c:valAx>
        <c:axId val="966227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2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Theater Trends .xlsx]Bottom 10 LW% Change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LW%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'Bottom 10 LW% Change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'Bottom 10 LW% Change '!$A$4:$A$14</c:f>
              <c:strCache>
                <c:ptCount val="10"/>
                <c:pt idx="0">
                  <c:v>Sketch</c:v>
                </c:pt>
                <c:pt idx="1">
                  <c:v>It’s Never Over, Jeff Buckley</c:v>
                </c:pt>
                <c:pt idx="2">
                  <c:v>Suspended Time</c:v>
                </c:pt>
                <c:pt idx="3">
                  <c:v>Relay</c:v>
                </c:pt>
                <c:pt idx="4">
                  <c:v>Ne Zha 2</c:v>
                </c:pt>
                <c:pt idx="5">
                  <c:v>Oh, Hi!</c:v>
                </c:pt>
                <c:pt idx="6">
                  <c:v>Eden</c:v>
                </c:pt>
                <c:pt idx="7">
                  <c:v>Trust</c:v>
                </c:pt>
                <c:pt idx="8">
                  <c:v>A Photographic Memory</c:v>
                </c:pt>
                <c:pt idx="9">
                  <c:v>Hell House LLC: Lineage</c:v>
                </c:pt>
              </c:strCache>
            </c:strRef>
          </c:cat>
          <c:val>
            <c:numRef>
              <c:f>'Bottom 10 LW% Change '!$B$4:$B$14</c:f>
              <c:numCache>
                <c:formatCode>General</c:formatCode>
                <c:ptCount val="10"/>
                <c:pt idx="0">
                  <c:v>-0.73</c:v>
                </c:pt>
                <c:pt idx="1">
                  <c:v>-0.73</c:v>
                </c:pt>
                <c:pt idx="2">
                  <c:v>-0.82</c:v>
                </c:pt>
                <c:pt idx="3">
                  <c:v>-0.82</c:v>
                </c:pt>
                <c:pt idx="4">
                  <c:v>-0.83</c:v>
                </c:pt>
                <c:pt idx="5">
                  <c:v>-0.87</c:v>
                </c:pt>
                <c:pt idx="6">
                  <c:v>-0.87</c:v>
                </c:pt>
                <c:pt idx="7">
                  <c:v>-0.93</c:v>
                </c:pt>
                <c:pt idx="8">
                  <c:v>-0.94</c:v>
                </c:pt>
                <c:pt idx="9">
                  <c:v>-0.99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2-42E4-9E4A-D35609148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7908959"/>
        <c:axId val="2017901759"/>
      </c:lineChart>
      <c:catAx>
        <c:axId val="201790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01759"/>
        <c:crosses val="autoZero"/>
        <c:auto val="1"/>
        <c:lblAlgn val="ctr"/>
        <c:lblOffset val="100"/>
        <c:noMultiLvlLbl val="0"/>
      </c:catAx>
      <c:valAx>
        <c:axId val="201790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0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Theater Trends .xlsx]Top 10 LW% Change!PivotTable1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</a:t>
            </a:r>
            <a:r>
              <a:rPr lang="en-US" baseline="0"/>
              <a:t> LW% Change</a:t>
            </a:r>
          </a:p>
        </c:rich>
      </c:tx>
      <c:layout>
        <c:manualLayout>
          <c:xMode val="edge"/>
          <c:yMode val="edge"/>
          <c:x val="0.45204855643044617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'Top 10 LW% Change'!$B$3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LW% Change'!$A$4:$A$14</c:f>
              <c:strCache>
                <c:ptCount val="10"/>
                <c:pt idx="0">
                  <c:v>Jane Austen Wrecked My Life</c:v>
                </c:pt>
                <c:pt idx="1">
                  <c:v>Lilo &amp; Stitch</c:v>
                </c:pt>
                <c:pt idx="2">
                  <c:v>Ran</c:v>
                </c:pt>
                <c:pt idx="3">
                  <c:v>Can’t Let It Go</c:v>
                </c:pt>
                <c:pt idx="4">
                  <c:v>Marlee Matlin: Not Alone Anymore</c:v>
                </c:pt>
                <c:pt idx="5">
                  <c:v>Lurker</c:v>
                </c:pt>
                <c:pt idx="6">
                  <c:v>In the Fire of War</c:v>
                </c:pt>
                <c:pt idx="7">
                  <c:v>Splitsville</c:v>
                </c:pt>
                <c:pt idx="8">
                  <c:v>Don’t Let’s Go to the Dogs Tonight</c:v>
                </c:pt>
                <c:pt idx="9">
                  <c:v>Hot Spring Shark Attack</c:v>
                </c:pt>
              </c:strCache>
            </c:strRef>
          </c:cat>
          <c:val>
            <c:numRef>
              <c:f>'Top 10 LW% Change'!$B$4:$B$14</c:f>
              <c:numCache>
                <c:formatCode>General</c:formatCode>
                <c:ptCount val="10"/>
                <c:pt idx="0">
                  <c:v>86.2</c:v>
                </c:pt>
                <c:pt idx="1">
                  <c:v>41.22</c:v>
                </c:pt>
                <c:pt idx="2">
                  <c:v>9.85</c:v>
                </c:pt>
                <c:pt idx="3">
                  <c:v>5.68</c:v>
                </c:pt>
                <c:pt idx="4">
                  <c:v>3.11</c:v>
                </c:pt>
                <c:pt idx="5">
                  <c:v>1.02</c:v>
                </c:pt>
                <c:pt idx="6">
                  <c:v>0.62</c:v>
                </c:pt>
                <c:pt idx="7">
                  <c:v>0.62</c:v>
                </c:pt>
                <c:pt idx="8">
                  <c:v>0.56000000000000005</c:v>
                </c:pt>
                <c:pt idx="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5-40DD-8A14-75E66E489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908959"/>
        <c:axId val="2017901759"/>
      </c:lineChart>
      <c:catAx>
        <c:axId val="201790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01759"/>
        <c:crosses val="autoZero"/>
        <c:auto val="1"/>
        <c:lblAlgn val="ctr"/>
        <c:lblOffset val="100"/>
        <c:noMultiLvlLbl val="0"/>
      </c:catAx>
      <c:valAx>
        <c:axId val="201790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0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74</xdr:row>
      <xdr:rowOff>3810</xdr:rowOff>
    </xdr:from>
    <xdr:to>
      <xdr:col>4</xdr:col>
      <xdr:colOff>800100</xdr:colOff>
      <xdr:row>89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3585A-EB59-8506-F825-9868B9281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121920</xdr:rowOff>
    </xdr:from>
    <xdr:to>
      <xdr:col>14</xdr:col>
      <xdr:colOff>327660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81DA2-FFC1-9E2F-5F09-128A4F5B6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0</xdr:row>
      <xdr:rowOff>80010</xdr:rowOff>
    </xdr:from>
    <xdr:to>
      <xdr:col>10</xdr:col>
      <xdr:colOff>419100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A51E5-BE2F-6610-99D8-052EA7E64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4</xdr:row>
      <xdr:rowOff>95250</xdr:rowOff>
    </xdr:from>
    <xdr:to>
      <xdr:col>8</xdr:col>
      <xdr:colOff>469900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C716C7-3964-191D-A38B-11EE66D1B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273050</xdr:colOff>
      <xdr:row>35</xdr:row>
      <xdr:rowOff>158750</xdr:rowOff>
    </xdr:from>
    <xdr:to>
      <xdr:col>15</xdr:col>
      <xdr:colOff>533400</xdr:colOff>
      <xdr:row>53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508E6-4940-667E-674A-38A3BBFD9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0</xdr:row>
      <xdr:rowOff>173990</xdr:rowOff>
    </xdr:from>
    <xdr:to>
      <xdr:col>10</xdr:col>
      <xdr:colOff>241300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39282B-A3BF-4E90-9E8D-C17B1B9C732D}"/>
            </a:ext>
            <a:ext uri="{147F2762-F138-4A5C-976F-8EAC2B608ADB}">
              <a16:predDERef xmlns:a16="http://schemas.microsoft.com/office/drawing/2014/main" pred="{F49508E6-4940-667E-674A-38A3BBFD9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</xdr:row>
      <xdr:rowOff>152400</xdr:rowOff>
    </xdr:from>
    <xdr:to>
      <xdr:col>14</xdr:col>
      <xdr:colOff>400050</xdr:colOff>
      <xdr:row>18</xdr:row>
      <xdr:rowOff>9525</xdr:rowOff>
    </xdr:to>
    <xdr:graphicFrame macro="">
      <xdr:nvGraphicFramePr>
        <xdr:cNvPr id="27" name="Chart 3">
          <a:extLst>
            <a:ext uri="{FF2B5EF4-FFF2-40B4-BE49-F238E27FC236}">
              <a16:creationId xmlns:a16="http://schemas.microsoft.com/office/drawing/2014/main" id="{ECE4B66B-C837-00DE-316F-165172BCA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3</xdr:row>
      <xdr:rowOff>137160</xdr:rowOff>
    </xdr:from>
    <xdr:to>
      <xdr:col>13</xdr:col>
      <xdr:colOff>144780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5502E-0F7C-419B-8E04-A12662E32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3</xdr:row>
      <xdr:rowOff>118110</xdr:rowOff>
    </xdr:from>
    <xdr:to>
      <xdr:col>11</xdr:col>
      <xdr:colOff>129540</xdr:colOff>
      <xdr:row>18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AA2BE-7D6C-7190-DD7D-2C0300D5E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la Heller" refreshedDate="45923.586134027777" createdVersion="8" refreshedVersion="8" minRefreshableVersion="3" recordCount="71" xr:uid="{C9A2365B-436A-CB49-8BC7-F68B71278FAF}">
  <cacheSource type="worksheet">
    <worksheetSource ref="A2:I73" sheet="Data Set"/>
  </cacheSource>
  <cacheFields count="9">
    <cacheField name="Movie Title" numFmtId="0">
      <sharedItems containsBlank="1" count="71">
        <s v="Weapons"/>
        <s v="Jaws"/>
        <s v="Caught Stealing"/>
        <s v="Freakier Friday"/>
        <s v="The Roses"/>
        <s v="The Fantastic Four: First Steps"/>
        <s v="The Bad Guys 2"/>
        <s v="Superman"/>
        <s v="Nobody 2"/>
        <s v="The Naked Gun"/>
        <s v="The Toxic Avenger Unrated"/>
        <s v="Jurassic World Rebirth"/>
        <s v="F1: The Movie"/>
        <s v="Lilo &amp; Stitch"/>
        <s v="Honey Don’t"/>
        <s v="Relay"/>
        <s v="Ne Zha 2"/>
        <s v="Together"/>
        <s v="Splitsville"/>
        <s v="How to Train Your Dragon"/>
        <s v="Eden"/>
        <s v="Shin Godzilla"/>
        <s v="Lurker"/>
        <s v="A Little Prayer"/>
        <s v="Sketch"/>
        <s v="Sharing Aloha"/>
        <s v="Love, Brooklyn"/>
        <s v="It’s Never Over, Jeff Buckley"/>
        <s v="Ran"/>
        <s v="CatVideoFest 2025"/>
        <s v="Elio"/>
        <s v="East of Wall"/>
        <s v="Bad Shabbos"/>
        <s v="Trust"/>
        <s v="Jane Austen Wrecked My Life"/>
        <s v="Boys Go to Jupiter"/>
        <s v="Pools"/>
        <s v="Don’t Let’s Go to the Dogs Tonight"/>
        <s v="My Mother’s Wedding"/>
        <s v="Seeds"/>
        <s v="Diva"/>
        <s v="Cloud"/>
        <s v="Shari &amp; Lamb Chop"/>
        <s v="Shoshana"/>
        <s v="Night of the Juggler"/>
        <s v="Hot Spring Shark Attack"/>
        <s v="Folktales"/>
        <s v="Hearts of Darkness: A Filmmaker's Apocalypse"/>
        <s v="Marlee Matlin: Not Alone Anymore"/>
        <s v="Souleymane’s Story"/>
        <s v="Dogtooth"/>
        <s v="Oh, Hi!"/>
        <s v="Can’t Let It Go"/>
        <s v="Suspended Time"/>
        <s v="Hell House LLC: Lineage"/>
        <s v="Eli Roth Presents: Jimmy and Stiggs"/>
        <s v="Eephus"/>
        <s v="Pavements"/>
        <s v="The Sacrifice"/>
        <s v="The Annihilation of Fish"/>
        <s v="Pariah"/>
        <s v="Monk in Pieces"/>
        <s v="The Boondock Saints"/>
        <s v="Familiar Touch"/>
        <s v="Kill The Jockey"/>
        <s v="In the Fire of War"/>
        <s v="Hung Up on a Dream: The Zombies Documentary"/>
        <s v="Hema Hema: Sing Me a Song While I Wait"/>
        <s v="A Photographic Memory"/>
        <s v=" "/>
        <m/>
      </sharedItems>
    </cacheField>
    <cacheField name="Distributor" numFmtId="0">
      <sharedItems containsBlank="1" count="36">
        <s v="Warner Bros."/>
        <s v="Universal"/>
        <s v="Sony Pictures"/>
        <s v="Walt Disney"/>
        <s v="Searchlight …"/>
        <s v="Paramount Pi…"/>
        <s v="Iconic/Cinev…"/>
        <s v="Focus Features"/>
        <s v="Bleecker Street"/>
        <s v="A24"/>
        <s v="Neon"/>
        <s v="Vertical Ent…"/>
        <s v="GKIDS"/>
        <s v="MUBI"/>
        <s v="Music Box Films"/>
        <s v="Angel Studios"/>
        <s v="Susan Tucket…"/>
        <s v="Greenwich"/>
        <s v="Magnolia Pic…"/>
        <s v="Rialto Pictures"/>
        <s v="Oscilloscope…"/>
        <s v="Sony Picture…"/>
        <s v="Menemsha Ent…"/>
        <s v="Republic Pic…"/>
        <s v="Cartuna"/>
        <s v="Circle Colle…"/>
        <m/>
        <s v="Janus Films"/>
        <s v="Kino Lorber"/>
        <s v="Utopia"/>
        <s v="Indican Pict…"/>
        <s v="Iconic Relea…"/>
        <s v="Orion Pictures"/>
        <s v="Dekanalog"/>
        <s v="Zeitgeist"/>
        <s v=" "/>
      </sharedItems>
    </cacheField>
    <cacheField name="Gross" numFmtId="0">
      <sharedItems containsMixedTypes="1" containsNumber="1" containsInteger="1" minValue="50" maxValue="10471712" count="71">
        <n v="10471712"/>
        <n v="9641790"/>
        <n v="7803925"/>
        <n v="6748051"/>
        <n v="6265264"/>
        <n v="5009353"/>
        <n v="4752405"/>
        <n v="2570160"/>
        <n v="1892405"/>
        <n v="1826859"/>
        <n v="1734359"/>
        <n v="1503440"/>
        <n v="1175878"/>
        <n v="1166586"/>
        <n v="902040"/>
        <n v="351026"/>
        <n v="261076"/>
        <n v="203652"/>
        <n v="175082"/>
        <n v="161850"/>
        <n v="140675"/>
        <n v="120743"/>
        <n v="113129"/>
        <n v="70727"/>
        <n v="67160"/>
        <n v="58337"/>
        <n v="49243"/>
        <n v="37993"/>
        <n v="33002"/>
        <n v="31683"/>
        <n v="24280"/>
        <n v="19834"/>
        <n v="19658"/>
        <n v="17901"/>
        <n v="15696"/>
        <n v="15652"/>
        <n v="13045"/>
        <n v="8737"/>
        <n v="6395"/>
        <n v="6100"/>
        <n v="4334"/>
        <n v="2746"/>
        <n v="2650"/>
        <n v="2553"/>
        <n v="2356"/>
        <n v="2056"/>
        <n v="1797"/>
        <n v="1488"/>
        <n v="1429"/>
        <n v="1225"/>
        <n v="1143"/>
        <n v="1053"/>
        <n v="968"/>
        <n v="934"/>
        <n v="931"/>
        <n v="576"/>
        <n v="566"/>
        <n v="533"/>
        <n v="451"/>
        <n v="357"/>
        <n v="275"/>
        <n v="272"/>
        <n v="250"/>
        <n v="243"/>
        <n v="214"/>
        <n v="202"/>
        <n v="146"/>
        <n v="67"/>
        <n v="50"/>
        <s v=" "/>
        <n v="69"/>
      </sharedItems>
    </cacheField>
    <cacheField name="%LW" numFmtId="0">
      <sharedItems containsBlank="1" containsMixedTypes="1" containsNumber="1" minValue="-0.99" maxValue="86.2"/>
    </cacheField>
    <cacheField name="Theaters" numFmtId="0">
      <sharedItems containsMixedTypes="1" containsNumber="1" containsInteger="1" minValue="1" maxValue="65518768" count="43">
        <n v="3416"/>
        <n v="3200"/>
        <n v="3578"/>
        <n v="3475"/>
        <n v="2700"/>
        <n v="2785"/>
        <n v="3024"/>
        <n v="1824"/>
        <n v="2502"/>
        <n v="1744"/>
        <n v="1995"/>
        <n v="1352"/>
        <n v="728"/>
        <n v="2440"/>
        <n v="1338"/>
        <n v="1218"/>
        <n v="756"/>
        <n v="204"/>
        <n v="28"/>
        <n v="217"/>
        <n v="453"/>
        <n v="419"/>
        <n v="19"/>
        <n v="70"/>
        <n v="200"/>
        <n v="37"/>
        <n v="1"/>
        <n v="64"/>
        <n v="31"/>
        <n v="22"/>
        <n v="35"/>
        <n v="20"/>
        <n v="100"/>
        <n v="6"/>
        <n v="3"/>
        <n v="10"/>
        <n v="21"/>
        <n v="2"/>
        <n v="4"/>
        <n v="8"/>
        <n v="5"/>
        <s v=" "/>
        <n v="65518768"/>
      </sharedItems>
    </cacheField>
    <cacheField name="Theaters_x000a_Change" numFmtId="0">
      <sharedItems containsBlank="1" containsMixedTypes="1" containsNumber="1" containsInteger="1" minValue="-1472" maxValue="2385"/>
    </cacheField>
    <cacheField name="Per_x000a_Theater" numFmtId="0">
      <sharedItems containsBlank="1" containsMixedTypes="1" containsNumber="1" containsInteger="1" minValue="50" maxValue="49243"/>
    </cacheField>
    <cacheField name="Total_x000a_Gross" numFmtId="0">
      <sharedItems containsBlank="1" containsMixedTypes="1" containsNumber="1" containsInteger="1" minValue="7282" maxValue="422985124" count="71">
        <n v="132659399"/>
        <n v="281898790"/>
        <n v="7803925"/>
        <n v="80697936"/>
        <n v="6265264"/>
        <n v="264835533"/>
        <n v="73062085"/>
        <n v="351033773"/>
        <n v="20124170"/>
        <n v="50837026"/>
        <n v="1734359"/>
        <n v="337919055"/>
        <n v="187852423"/>
        <n v="422985124"/>
        <n v="5098280"/>
        <n v="2916577"/>
        <n v="23251218"/>
        <n v="21125352"/>
        <n v="325086"/>
        <n v="262909095"/>
        <n v="1475150"/>
        <n v="5925536"/>
        <n v="192832"/>
        <n v="70727"/>
        <n v="8017513"/>
        <n v="58337"/>
        <n v="49243"/>
        <n v="1312787"/>
        <n v="3115188"/>
        <n v="906954"/>
        <n v="72974146"/>
        <n v="613443"/>
        <n v="1468024"/>
        <n v="360653"/>
        <n v="1901675"/>
        <n v="131956"/>
        <n v="26434"/>
        <n v="629054"/>
        <n v="895473"/>
        <n v="20100"/>
        <n v="2921108"/>
        <n v="346748"/>
        <n v="27605"/>
        <n v="134741"/>
        <n v="31449"/>
        <n v="33327"/>
        <n v="115624"/>
        <n v="1380689"/>
        <n v="100374"/>
        <n v="80519"/>
        <n v="206387"/>
        <n v="2078331"/>
        <n v="9318"/>
        <n v="15477"/>
        <n v="309757"/>
        <n v="111562"/>
        <n v="525511"/>
        <n v="350173"/>
        <n v="203102"/>
        <n v="70840"/>
        <n v="639150"/>
        <n v="26575"/>
        <n v="45050"/>
        <n v="151832"/>
        <n v="87986"/>
        <n v="39972"/>
        <n v="108957"/>
        <n v="7282"/>
        <n v="27278"/>
        <s v=" "/>
        <m/>
      </sharedItems>
    </cacheField>
    <cacheField name="Weekends In_x000a_Release" numFmtId="0">
      <sharedItems containsBlank="1" containsMixedTypes="1" containsNumber="1" containsInteger="1" minValue="1" maxValue="26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4.584260300922" createdVersion="8" refreshedVersion="8" minRefreshableVersion="3" recordCount="69" xr:uid="{86786D7A-E14B-4D8A-8EF2-C9FD8F0F4ACF}">
  <cacheSource type="worksheet">
    <worksheetSource name="Table1"/>
  </cacheSource>
  <cacheFields count="9">
    <cacheField name="Movie Title" numFmtId="0">
      <sharedItems count="69">
        <s v="Weapons"/>
        <s v="Jaws"/>
        <s v="Caught Stealing"/>
        <s v="Freakier Friday"/>
        <s v="The Roses"/>
        <s v="The Fantastic Four: First Steps"/>
        <s v="The Bad Guys 2"/>
        <s v="Superman"/>
        <s v="Nobody 2"/>
        <s v="The Naked Gun"/>
        <s v="The Toxic Avenger Unrated"/>
        <s v="Jurassic World Rebirth"/>
        <s v="F1: The Movie"/>
        <s v="Lilo &amp; Stitch"/>
        <s v="Honey Don’t"/>
        <s v="Relay"/>
        <s v="Ne Zha 2"/>
        <s v="Together"/>
        <s v="Splitsville"/>
        <s v="How to Train Your Dragon"/>
        <s v="Eden"/>
        <s v="Shin Godzilla"/>
        <s v="Lurker"/>
        <s v="A Little Prayer"/>
        <s v="Sketch"/>
        <s v="Sharing Aloha"/>
        <s v="Love, Brooklyn"/>
        <s v="It’s Never Over, Jeff Buckley"/>
        <s v="Ran"/>
        <s v="CatVideoFest 2025"/>
        <s v="Elio"/>
        <s v="East of Wall"/>
        <s v="Bad Shabbos"/>
        <s v="Trust"/>
        <s v="Jane Austen Wrecked My Life"/>
        <s v="Boys Go to Jupiter"/>
        <s v="Pools"/>
        <s v="Don’t Let’s Go to the Dogs Tonight"/>
        <s v="My Mother’s Wedding"/>
        <s v="Seeds"/>
        <s v="Diva"/>
        <s v="Cloud"/>
        <s v="Shari &amp; Lamb Chop"/>
        <s v="Shoshana"/>
        <s v="Night of the Juggler"/>
        <s v="Hot Spring Shark Attack"/>
        <s v="Folktales"/>
        <s v="Hearts of Darkness: A Filmmaker's Apocalypse"/>
        <s v="Marlee Matlin: Not Alone Anymore"/>
        <s v="Souleymane’s Story"/>
        <s v="Dogtooth"/>
        <s v="Oh, Hi!"/>
        <s v="Can’t Let It Go"/>
        <s v="Suspended Time"/>
        <s v="Hell House LLC: Lineage"/>
        <s v="Eli Roth Presents: Jimmy and Stiggs"/>
        <s v="Eephus"/>
        <s v="Pavements"/>
        <s v="The Sacrifice"/>
        <s v="The Annihilation of Fish"/>
        <s v="Pariah"/>
        <s v="Monk in Pieces"/>
        <s v="The Boondock Saints"/>
        <s v="Familiar Touch"/>
        <s v="Kill The Jockey"/>
        <s v="In the Fire of War"/>
        <s v="Hung Up on a Dream: The Zombies Documentary"/>
        <s v="Hema Hema: Sing Me a Song While I Wait"/>
        <s v="A Photographic Memory"/>
      </sharedItems>
    </cacheField>
    <cacheField name="Distributor" numFmtId="0">
      <sharedItems containsBlank="1" count="35">
        <s v="Warner Bros."/>
        <s v="Universal"/>
        <s v="Sony Pictures"/>
        <s v="Walt Disney"/>
        <s v="Searchlight …"/>
        <s v="Paramount Pi…"/>
        <s v="Iconic/Cinev…"/>
        <s v="Focus Features"/>
        <s v="Bleecker Street"/>
        <s v="A24"/>
        <s v="Neon"/>
        <s v="Vertical Ent…"/>
        <s v="GKIDS"/>
        <s v="MUBI"/>
        <s v="Music Box Films"/>
        <s v="Angel Studios"/>
        <s v="Susan Tucket…"/>
        <s v="Greenwich"/>
        <s v="Magnolia Pic…"/>
        <s v="Rialto Pictures"/>
        <s v="Oscilloscope…"/>
        <s v="Sony Picture…"/>
        <s v="Menemsha Ent…"/>
        <s v="Republic Pic…"/>
        <s v="Cartuna"/>
        <s v="Circle Colle…"/>
        <m/>
        <s v="Janus Films"/>
        <s v="Kino Lorber"/>
        <s v="Utopia"/>
        <s v="Indican Pict…"/>
        <s v="Iconic Relea…"/>
        <s v="Orion Pictures"/>
        <s v="Dekanalog"/>
        <s v="Zeitgeist"/>
      </sharedItems>
    </cacheField>
    <cacheField name="Gross" numFmtId="6">
      <sharedItems containsSemiMixedTypes="0" containsString="0" containsNumber="1" containsInteger="1" minValue="50" maxValue="10471712"/>
    </cacheField>
    <cacheField name="%LW" numFmtId="0">
      <sharedItems containsMixedTypes="1" containsNumber="1" minValue="-0.99" maxValue="86.2" count="47">
        <n v="-0.32"/>
        <s v=" "/>
        <n v="-0.24"/>
        <n v="-0.17"/>
        <n v="-7.0000000000000007E-2"/>
        <n v="-0.25"/>
        <n v="-0.49"/>
        <n v="-0.39"/>
        <n v="-0.28999999999999998"/>
        <n v="-0.33"/>
        <n v="41.22"/>
        <n v="-0.7"/>
        <n v="-0.82"/>
        <n v="-0.83"/>
        <n v="-0.51"/>
        <n v="0.62"/>
        <n v="-0.57999999999999996"/>
        <n v="-0.87"/>
        <n v="-0.65"/>
        <n v="1.02"/>
        <n v="-0.73"/>
        <n v="9.85"/>
        <n v="-0.36"/>
        <n v="0.38"/>
        <n v="-0.41"/>
        <n v="-0.93"/>
        <n v="86.2"/>
        <n v="0.24"/>
        <n v="0.56000000000000005"/>
        <n v="-0.47"/>
        <n v="0.17"/>
        <n v="-0.62"/>
        <n v="0.22"/>
        <n v="0.05"/>
        <n v="0.02"/>
        <n v="0.43"/>
        <n v="-0.54"/>
        <n v="-0.05"/>
        <n v="3.11"/>
        <n v="5.68"/>
        <n v="-0.99"/>
        <n v="-0.72"/>
        <n v="0.1"/>
        <n v="-0.19"/>
        <n v="0.28000000000000003"/>
        <n v="-0.21"/>
        <n v="-0.94"/>
      </sharedItems>
    </cacheField>
    <cacheField name="Theaters" numFmtId="0">
      <sharedItems containsSemiMixedTypes="0" containsString="0" containsNumber="1" containsInteger="1" minValue="1" maxValue="3578"/>
    </cacheField>
    <cacheField name="Theaters_x000a_Change" numFmtId="0">
      <sharedItems containsMixedTypes="1" containsNumber="1" containsInteger="1" minValue="-1472" maxValue="2385"/>
    </cacheField>
    <cacheField name="Per_x000a_Theater" numFmtId="6">
      <sharedItems containsSemiMixedTypes="0" containsString="0" containsNumber="1" containsInteger="1" minValue="50" maxValue="49243"/>
    </cacheField>
    <cacheField name="Total_x000a_Gross" numFmtId="6">
      <sharedItems containsSemiMixedTypes="0" containsString="0" containsNumber="1" containsInteger="1" minValue="7282" maxValue="422985124"/>
    </cacheField>
    <cacheField name="Weekends In_x000a_Release" numFmtId="0">
      <sharedItems containsSemiMixedTypes="0" containsString="0" containsNumber="1" containsInteger="1" minValue="1" maxValue="26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x v="0"/>
    <x v="0"/>
    <n v="-0.32"/>
    <x v="0"/>
    <n v="-215"/>
    <n v="3065"/>
    <x v="0"/>
    <n v="4"/>
  </r>
  <r>
    <x v="1"/>
    <x v="1"/>
    <x v="1"/>
    <s v=" "/>
    <x v="1"/>
    <s v=" "/>
    <n v="3013"/>
    <x v="1"/>
    <n v="2620"/>
  </r>
  <r>
    <x v="2"/>
    <x v="2"/>
    <x v="2"/>
    <s v=" "/>
    <x v="2"/>
    <s v=" "/>
    <n v="2181"/>
    <x v="2"/>
    <n v="1"/>
  </r>
  <r>
    <x v="3"/>
    <x v="3"/>
    <x v="3"/>
    <n v="-0.24"/>
    <x v="3"/>
    <n v="-200"/>
    <n v="1942"/>
    <x v="3"/>
    <n v="4"/>
  </r>
  <r>
    <x v="4"/>
    <x v="4"/>
    <x v="4"/>
    <s v=" "/>
    <x v="4"/>
    <s v=" "/>
    <n v="2320"/>
    <x v="4"/>
    <n v="1"/>
  </r>
  <r>
    <x v="5"/>
    <x v="3"/>
    <x v="5"/>
    <n v="-0.17"/>
    <x v="5"/>
    <n v="-405"/>
    <n v="1799"/>
    <x v="5"/>
    <n v="6"/>
  </r>
  <r>
    <x v="6"/>
    <x v="1"/>
    <x v="6"/>
    <n v="-7.0000000000000007E-2"/>
    <x v="6"/>
    <n v="-264"/>
    <n v="1572"/>
    <x v="6"/>
    <n v="5"/>
  </r>
  <r>
    <x v="7"/>
    <x v="0"/>
    <x v="7"/>
    <n v="-0.25"/>
    <x v="7"/>
    <n v="-514"/>
    <n v="1409"/>
    <x v="7"/>
    <n v="8"/>
  </r>
  <r>
    <x v="8"/>
    <x v="1"/>
    <x v="8"/>
    <n v="-0.49"/>
    <x v="8"/>
    <n v="-780"/>
    <n v="756"/>
    <x v="8"/>
    <n v="3"/>
  </r>
  <r>
    <x v="9"/>
    <x v="5"/>
    <x v="9"/>
    <n v="-0.39"/>
    <x v="9"/>
    <n v="-1032"/>
    <n v="1048"/>
    <x v="9"/>
    <n v="5"/>
  </r>
  <r>
    <x v="10"/>
    <x v="6"/>
    <x v="10"/>
    <s v=" "/>
    <x v="10"/>
    <s v=" "/>
    <n v="869"/>
    <x v="10"/>
    <n v="1"/>
  </r>
  <r>
    <x v="11"/>
    <x v="1"/>
    <x v="11"/>
    <n v="-0.28999999999999998"/>
    <x v="11"/>
    <n v="-748"/>
    <n v="1112"/>
    <x v="11"/>
    <n v="9"/>
  </r>
  <r>
    <x v="12"/>
    <x v="0"/>
    <x v="12"/>
    <n v="-0.33"/>
    <x v="12"/>
    <n v="-293"/>
    <n v="1615"/>
    <x v="12"/>
    <n v="10"/>
  </r>
  <r>
    <x v="13"/>
    <x v="3"/>
    <x v="13"/>
    <n v="41.22"/>
    <x v="13"/>
    <n v="2385"/>
    <n v="478"/>
    <x v="13"/>
    <n v="15"/>
  </r>
  <r>
    <x v="14"/>
    <x v="7"/>
    <x v="14"/>
    <n v="-0.7"/>
    <x v="14"/>
    <n v="21"/>
    <n v="674"/>
    <x v="14"/>
    <n v="2"/>
  </r>
  <r>
    <x v="15"/>
    <x v="8"/>
    <x v="15"/>
    <n v="-0.82"/>
    <x v="15"/>
    <n v="-265"/>
    <n v="288"/>
    <x v="15"/>
    <n v="2"/>
  </r>
  <r>
    <x v="16"/>
    <x v="9"/>
    <x v="16"/>
    <n v="-0.83"/>
    <x v="16"/>
    <n v="-1472"/>
    <n v="345"/>
    <x v="16"/>
    <n v="29"/>
  </r>
  <r>
    <x v="17"/>
    <x v="10"/>
    <x v="17"/>
    <n v="-0.51"/>
    <x v="17"/>
    <n v="-235"/>
    <n v="998"/>
    <x v="17"/>
    <n v="5"/>
  </r>
  <r>
    <x v="18"/>
    <x v="10"/>
    <x v="18"/>
    <n v="0.62"/>
    <x v="18"/>
    <n v="23"/>
    <n v="6253"/>
    <x v="18"/>
    <n v="2"/>
  </r>
  <r>
    <x v="19"/>
    <x v="1"/>
    <x v="19"/>
    <n v="-0.57999999999999996"/>
    <x v="19"/>
    <n v="-961"/>
    <n v="746"/>
    <x v="19"/>
    <n v="12"/>
  </r>
  <r>
    <x v="20"/>
    <x v="11"/>
    <x v="20"/>
    <n v="-0.87"/>
    <x v="20"/>
    <n v="-211"/>
    <n v="311"/>
    <x v="20"/>
    <n v="2"/>
  </r>
  <r>
    <x v="21"/>
    <x v="12"/>
    <x v="21"/>
    <n v="-0.65"/>
    <x v="21"/>
    <n v="-341"/>
    <n v="288"/>
    <x v="21"/>
    <n v="464"/>
  </r>
  <r>
    <x v="22"/>
    <x v="13"/>
    <x v="22"/>
    <n v="1.02"/>
    <x v="22"/>
    <n v="15"/>
    <n v="5954"/>
    <x v="22"/>
    <n v="2"/>
  </r>
  <r>
    <x v="23"/>
    <x v="14"/>
    <x v="23"/>
    <s v=" "/>
    <x v="23"/>
    <s v=" "/>
    <n v="1010"/>
    <x v="23"/>
    <n v="1"/>
  </r>
  <r>
    <x v="24"/>
    <x v="15"/>
    <x v="24"/>
    <n v="-0.73"/>
    <x v="24"/>
    <n v="-427"/>
    <n v="336"/>
    <x v="24"/>
    <n v="4"/>
  </r>
  <r>
    <x v="25"/>
    <x v="16"/>
    <x v="25"/>
    <s v=" "/>
    <x v="25"/>
    <s v=" "/>
    <n v="1577"/>
    <x v="25"/>
    <n v="1"/>
  </r>
  <r>
    <x v="26"/>
    <x v="17"/>
    <x v="26"/>
    <s v=" "/>
    <x v="26"/>
    <s v=" "/>
    <n v="49243"/>
    <x v="26"/>
    <n v="1"/>
  </r>
  <r>
    <x v="27"/>
    <x v="18"/>
    <x v="27"/>
    <n v="-0.73"/>
    <x v="27"/>
    <n v="-70"/>
    <n v="594"/>
    <x v="27"/>
    <n v="4"/>
  </r>
  <r>
    <x v="28"/>
    <x v="19"/>
    <x v="28"/>
    <n v="9.85"/>
    <x v="28"/>
    <n v="30"/>
    <n v="1065"/>
    <x v="28"/>
    <n v="2072"/>
  </r>
  <r>
    <x v="29"/>
    <x v="20"/>
    <x v="29"/>
    <n v="-0.36"/>
    <x v="29"/>
    <n v="-17"/>
    <n v="1440"/>
    <x v="29"/>
    <n v="5"/>
  </r>
  <r>
    <x v="30"/>
    <x v="3"/>
    <x v="30"/>
    <n v="0.38"/>
    <x v="30"/>
    <n v="-10"/>
    <n v="694"/>
    <x v="30"/>
    <n v="11"/>
  </r>
  <r>
    <x v="31"/>
    <x v="21"/>
    <x v="31"/>
    <n v="-0.49"/>
    <x v="25"/>
    <n v="-61"/>
    <n v="536"/>
    <x v="31"/>
    <n v="3"/>
  </r>
  <r>
    <x v="32"/>
    <x v="22"/>
    <x v="32"/>
    <n v="-0.41"/>
    <x v="31"/>
    <n v="-7"/>
    <n v="983"/>
    <x v="32"/>
    <n v="40"/>
  </r>
  <r>
    <x v="33"/>
    <x v="23"/>
    <x v="33"/>
    <n v="-0.93"/>
    <x v="32"/>
    <n v="-332"/>
    <n v="179"/>
    <x v="33"/>
    <n v="2"/>
  </r>
  <r>
    <x v="34"/>
    <x v="21"/>
    <x v="34"/>
    <n v="86.2"/>
    <x v="33"/>
    <n v="4"/>
    <n v="2616"/>
    <x v="34"/>
    <n v="15"/>
  </r>
  <r>
    <x v="35"/>
    <x v="24"/>
    <x v="35"/>
    <n v="-0.41"/>
    <x v="22"/>
    <n v="2"/>
    <n v="824"/>
    <x v="35"/>
    <n v="4"/>
  </r>
  <r>
    <x v="36"/>
    <x v="25"/>
    <x v="36"/>
    <n v="0.24"/>
    <x v="34"/>
    <n v="2"/>
    <n v="4348"/>
    <x v="36"/>
    <n v="2"/>
  </r>
  <r>
    <x v="37"/>
    <x v="21"/>
    <x v="37"/>
    <n v="0.56000000000000005"/>
    <x v="35"/>
    <n v="-6"/>
    <n v="874"/>
    <x v="37"/>
    <n v="8"/>
  </r>
  <r>
    <x v="38"/>
    <x v="11"/>
    <x v="38"/>
    <n v="-0.65"/>
    <x v="36"/>
    <n v="-180"/>
    <n v="305"/>
    <x v="38"/>
    <n v="4"/>
  </r>
  <r>
    <x v="39"/>
    <x v="26"/>
    <x v="39"/>
    <n v="-0.47"/>
    <x v="37"/>
    <s v="n/c"/>
    <n v="3050"/>
    <x v="39"/>
    <n v="45"/>
  </r>
  <r>
    <x v="40"/>
    <x v="19"/>
    <x v="40"/>
    <n v="0.17"/>
    <x v="34"/>
    <n v="2"/>
    <n v="1445"/>
    <x v="40"/>
    <n v="2267"/>
  </r>
  <r>
    <x v="41"/>
    <x v="27"/>
    <x v="41"/>
    <n v="-0.62"/>
    <x v="38"/>
    <n v="-11"/>
    <n v="687"/>
    <x v="41"/>
    <n v="7"/>
  </r>
  <r>
    <x v="42"/>
    <x v="28"/>
    <x v="42"/>
    <n v="0.22"/>
    <x v="33"/>
    <s v="n/c"/>
    <n v="442"/>
    <x v="42"/>
    <n v="7"/>
  </r>
  <r>
    <x v="43"/>
    <x v="17"/>
    <x v="43"/>
    <n v="0.05"/>
    <x v="39"/>
    <s v="n/c"/>
    <n v="319"/>
    <x v="43"/>
    <n v="6"/>
  </r>
  <r>
    <x v="44"/>
    <x v="28"/>
    <x v="44"/>
    <n v="0.02"/>
    <x v="37"/>
    <n v="-2"/>
    <n v="1178"/>
    <x v="44"/>
    <n v="2380"/>
  </r>
  <r>
    <x v="45"/>
    <x v="29"/>
    <x v="45"/>
    <n v="0.43"/>
    <x v="34"/>
    <s v="n/c"/>
    <n v="685"/>
    <x v="45"/>
    <n v="8"/>
  </r>
  <r>
    <x v="46"/>
    <x v="18"/>
    <x v="46"/>
    <n v="-0.54"/>
    <x v="39"/>
    <n v="-12"/>
    <n v="225"/>
    <x v="46"/>
    <n v="6"/>
  </r>
  <r>
    <x v="47"/>
    <x v="19"/>
    <x v="47"/>
    <n v="-0.05"/>
    <x v="34"/>
    <n v="-1"/>
    <n v="496"/>
    <x v="47"/>
    <n v="1762"/>
  </r>
  <r>
    <x v="48"/>
    <x v="28"/>
    <x v="48"/>
    <n v="3.11"/>
    <x v="26"/>
    <n v="-2"/>
    <n v="1429"/>
    <x v="48"/>
    <n v="11"/>
  </r>
  <r>
    <x v="49"/>
    <x v="28"/>
    <x v="49"/>
    <n v="-0.7"/>
    <x v="37"/>
    <n v="-7"/>
    <n v="613"/>
    <x v="49"/>
    <n v="5"/>
  </r>
  <r>
    <x v="50"/>
    <x v="28"/>
    <x v="50"/>
    <n v="-0.54"/>
    <x v="26"/>
    <n v="-1"/>
    <n v="1143"/>
    <x v="50"/>
    <n v="793"/>
  </r>
  <r>
    <x v="51"/>
    <x v="21"/>
    <x v="51"/>
    <n v="-0.87"/>
    <x v="40"/>
    <n v="-7"/>
    <n v="211"/>
    <x v="51"/>
    <n v="6"/>
  </r>
  <r>
    <x v="52"/>
    <x v="30"/>
    <x v="52"/>
    <n v="5.68"/>
    <x v="26"/>
    <s v="n/c"/>
    <n v="968"/>
    <x v="52"/>
    <n v="5"/>
  </r>
  <r>
    <x v="53"/>
    <x v="14"/>
    <x v="53"/>
    <n v="-0.82"/>
    <x v="37"/>
    <n v="-3"/>
    <n v="467"/>
    <x v="53"/>
    <n v="3"/>
  </r>
  <r>
    <x v="54"/>
    <x v="31"/>
    <x v="54"/>
    <n v="-0.99"/>
    <x v="37"/>
    <n v="-385"/>
    <n v="466"/>
    <x v="54"/>
    <n v="2"/>
  </r>
  <r>
    <x v="55"/>
    <x v="31"/>
    <x v="55"/>
    <n v="-0.72"/>
    <x v="26"/>
    <n v="-9"/>
    <n v="576"/>
    <x v="55"/>
    <n v="3"/>
  </r>
  <r>
    <x v="56"/>
    <x v="14"/>
    <x v="56"/>
    <s v=" "/>
    <x v="26"/>
    <s v=" "/>
    <n v="566"/>
    <x v="56"/>
    <n v="26"/>
  </r>
  <r>
    <x v="57"/>
    <x v="29"/>
    <x v="57"/>
    <s v=" "/>
    <x v="26"/>
    <s v=" "/>
    <n v="533"/>
    <x v="57"/>
    <n v="18"/>
  </r>
  <r>
    <x v="58"/>
    <x v="32"/>
    <x v="58"/>
    <s v=" "/>
    <x v="26"/>
    <s v=" "/>
    <n v="451"/>
    <x v="58"/>
    <n v="565"/>
  </r>
  <r>
    <x v="59"/>
    <x v="28"/>
    <x v="59"/>
    <n v="0.24"/>
    <x v="26"/>
    <s v="n/c"/>
    <n v="357"/>
    <x v="59"/>
    <n v="1244"/>
  </r>
  <r>
    <x v="60"/>
    <x v="30"/>
    <x v="60"/>
    <n v="0.1"/>
    <x v="26"/>
    <s v="n/c"/>
    <n v="275"/>
    <x v="60"/>
    <n v="1373"/>
  </r>
  <r>
    <x v="61"/>
    <x v="28"/>
    <x v="61"/>
    <n v="-0.19"/>
    <x v="37"/>
    <n v="1"/>
    <n v="136"/>
    <x v="61"/>
    <n v="6"/>
  </r>
  <r>
    <x v="62"/>
    <x v="30"/>
    <x v="62"/>
    <n v="0.28000000000000003"/>
    <x v="26"/>
    <s v="n/c"/>
    <n v="250"/>
    <x v="62"/>
    <n v="1337"/>
  </r>
  <r>
    <x v="63"/>
    <x v="14"/>
    <x v="63"/>
    <n v="-0.49"/>
    <x v="37"/>
    <s v="n/c"/>
    <n v="122"/>
    <x v="63"/>
    <n v="11"/>
  </r>
  <r>
    <x v="64"/>
    <x v="14"/>
    <x v="64"/>
    <n v="-0.21"/>
    <x v="26"/>
    <s v="n/c"/>
    <n v="214"/>
    <x v="64"/>
    <n v="9"/>
  </r>
  <r>
    <x v="65"/>
    <x v="30"/>
    <x v="65"/>
    <n v="0.62"/>
    <x v="26"/>
    <s v="n/c"/>
    <n v="202"/>
    <x v="65"/>
    <n v="13"/>
  </r>
  <r>
    <x v="66"/>
    <x v="29"/>
    <x v="66"/>
    <s v=" "/>
    <x v="26"/>
    <s v=" "/>
    <n v="146"/>
    <x v="66"/>
    <n v="16"/>
  </r>
  <r>
    <x v="67"/>
    <x v="33"/>
    <x v="67"/>
    <s v=" "/>
    <x v="26"/>
    <s v=" "/>
    <n v="67"/>
    <x v="67"/>
    <n v="4"/>
  </r>
  <r>
    <x v="68"/>
    <x v="34"/>
    <x v="68"/>
    <n v="-0.94"/>
    <x v="26"/>
    <n v="-1"/>
    <n v="50"/>
    <x v="68"/>
    <n v="12"/>
  </r>
  <r>
    <x v="69"/>
    <x v="35"/>
    <x v="69"/>
    <s v=" "/>
    <x v="41"/>
    <s v=" "/>
    <s v=" "/>
    <x v="69"/>
    <s v=" "/>
  </r>
  <r>
    <x v="70"/>
    <x v="26"/>
    <x v="70"/>
    <m/>
    <x v="42"/>
    <m/>
    <m/>
    <x v="7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n v="10471712"/>
    <x v="0"/>
    <n v="3416"/>
    <n v="-215"/>
    <n v="3065"/>
    <n v="132659399"/>
    <n v="4"/>
  </r>
  <r>
    <x v="1"/>
    <x v="1"/>
    <n v="9641790"/>
    <x v="1"/>
    <n v="3200"/>
    <s v=" "/>
    <n v="3013"/>
    <n v="281898790"/>
    <n v="2620"/>
  </r>
  <r>
    <x v="2"/>
    <x v="2"/>
    <n v="7803925"/>
    <x v="1"/>
    <n v="3578"/>
    <s v=" "/>
    <n v="2181"/>
    <n v="7803925"/>
    <n v="1"/>
  </r>
  <r>
    <x v="3"/>
    <x v="3"/>
    <n v="6748051"/>
    <x v="2"/>
    <n v="3475"/>
    <n v="-200"/>
    <n v="1942"/>
    <n v="80697936"/>
    <n v="4"/>
  </r>
  <r>
    <x v="4"/>
    <x v="4"/>
    <n v="6265264"/>
    <x v="1"/>
    <n v="2700"/>
    <s v=" "/>
    <n v="2320"/>
    <n v="6265264"/>
    <n v="1"/>
  </r>
  <r>
    <x v="5"/>
    <x v="3"/>
    <n v="5009353"/>
    <x v="3"/>
    <n v="2785"/>
    <n v="-405"/>
    <n v="1799"/>
    <n v="264835533"/>
    <n v="6"/>
  </r>
  <r>
    <x v="6"/>
    <x v="1"/>
    <n v="4752405"/>
    <x v="4"/>
    <n v="3024"/>
    <n v="-264"/>
    <n v="1572"/>
    <n v="73062085"/>
    <n v="5"/>
  </r>
  <r>
    <x v="7"/>
    <x v="0"/>
    <n v="2570160"/>
    <x v="5"/>
    <n v="1824"/>
    <n v="-514"/>
    <n v="1409"/>
    <n v="351033773"/>
    <n v="8"/>
  </r>
  <r>
    <x v="8"/>
    <x v="1"/>
    <n v="1892405"/>
    <x v="6"/>
    <n v="2502"/>
    <n v="-780"/>
    <n v="756"/>
    <n v="20124170"/>
    <n v="3"/>
  </r>
  <r>
    <x v="9"/>
    <x v="5"/>
    <n v="1826859"/>
    <x v="7"/>
    <n v="1744"/>
    <n v="-1032"/>
    <n v="1048"/>
    <n v="50837026"/>
    <n v="5"/>
  </r>
  <r>
    <x v="10"/>
    <x v="6"/>
    <n v="1734359"/>
    <x v="1"/>
    <n v="1995"/>
    <s v=" "/>
    <n v="869"/>
    <n v="1734359"/>
    <n v="1"/>
  </r>
  <r>
    <x v="11"/>
    <x v="1"/>
    <n v="1503440"/>
    <x v="8"/>
    <n v="1352"/>
    <n v="-748"/>
    <n v="1112"/>
    <n v="337919055"/>
    <n v="9"/>
  </r>
  <r>
    <x v="12"/>
    <x v="0"/>
    <n v="1175878"/>
    <x v="9"/>
    <n v="728"/>
    <n v="-293"/>
    <n v="1615"/>
    <n v="187852423"/>
    <n v="10"/>
  </r>
  <r>
    <x v="13"/>
    <x v="3"/>
    <n v="1166586"/>
    <x v="10"/>
    <n v="2440"/>
    <n v="2385"/>
    <n v="478"/>
    <n v="422985124"/>
    <n v="15"/>
  </r>
  <r>
    <x v="14"/>
    <x v="7"/>
    <n v="902040"/>
    <x v="11"/>
    <n v="1338"/>
    <n v="21"/>
    <n v="674"/>
    <n v="5098280"/>
    <n v="2"/>
  </r>
  <r>
    <x v="15"/>
    <x v="8"/>
    <n v="351026"/>
    <x v="12"/>
    <n v="1218"/>
    <n v="-265"/>
    <n v="288"/>
    <n v="2916577"/>
    <n v="2"/>
  </r>
  <r>
    <x v="16"/>
    <x v="9"/>
    <n v="261076"/>
    <x v="13"/>
    <n v="756"/>
    <n v="-1472"/>
    <n v="345"/>
    <n v="23251218"/>
    <n v="29"/>
  </r>
  <r>
    <x v="17"/>
    <x v="10"/>
    <n v="203652"/>
    <x v="14"/>
    <n v="204"/>
    <n v="-235"/>
    <n v="998"/>
    <n v="21125352"/>
    <n v="5"/>
  </r>
  <r>
    <x v="18"/>
    <x v="10"/>
    <n v="175082"/>
    <x v="15"/>
    <n v="28"/>
    <n v="23"/>
    <n v="6253"/>
    <n v="325086"/>
    <n v="2"/>
  </r>
  <r>
    <x v="19"/>
    <x v="1"/>
    <n v="161850"/>
    <x v="16"/>
    <n v="217"/>
    <n v="-961"/>
    <n v="746"/>
    <n v="262909095"/>
    <n v="12"/>
  </r>
  <r>
    <x v="20"/>
    <x v="11"/>
    <n v="140675"/>
    <x v="17"/>
    <n v="453"/>
    <n v="-211"/>
    <n v="311"/>
    <n v="1475150"/>
    <n v="2"/>
  </r>
  <r>
    <x v="21"/>
    <x v="12"/>
    <n v="120743"/>
    <x v="18"/>
    <n v="419"/>
    <n v="-341"/>
    <n v="288"/>
    <n v="5925536"/>
    <n v="464"/>
  </r>
  <r>
    <x v="22"/>
    <x v="13"/>
    <n v="113129"/>
    <x v="19"/>
    <n v="19"/>
    <n v="15"/>
    <n v="5954"/>
    <n v="192832"/>
    <n v="2"/>
  </r>
  <r>
    <x v="23"/>
    <x v="14"/>
    <n v="70727"/>
    <x v="1"/>
    <n v="70"/>
    <s v=" "/>
    <n v="1010"/>
    <n v="70727"/>
    <n v="1"/>
  </r>
  <r>
    <x v="24"/>
    <x v="15"/>
    <n v="67160"/>
    <x v="20"/>
    <n v="200"/>
    <n v="-427"/>
    <n v="336"/>
    <n v="8017513"/>
    <n v="4"/>
  </r>
  <r>
    <x v="25"/>
    <x v="16"/>
    <n v="58337"/>
    <x v="1"/>
    <n v="37"/>
    <s v=" "/>
    <n v="1577"/>
    <n v="58337"/>
    <n v="1"/>
  </r>
  <r>
    <x v="26"/>
    <x v="17"/>
    <n v="49243"/>
    <x v="1"/>
    <n v="1"/>
    <s v=" "/>
    <n v="49243"/>
    <n v="49243"/>
    <n v="1"/>
  </r>
  <r>
    <x v="27"/>
    <x v="18"/>
    <n v="37993"/>
    <x v="20"/>
    <n v="64"/>
    <n v="-70"/>
    <n v="594"/>
    <n v="1312787"/>
    <n v="4"/>
  </r>
  <r>
    <x v="28"/>
    <x v="19"/>
    <n v="33002"/>
    <x v="21"/>
    <n v="31"/>
    <n v="30"/>
    <n v="1065"/>
    <n v="3115188"/>
    <n v="2072"/>
  </r>
  <r>
    <x v="29"/>
    <x v="20"/>
    <n v="31683"/>
    <x v="22"/>
    <n v="22"/>
    <n v="-17"/>
    <n v="1440"/>
    <n v="906954"/>
    <n v="5"/>
  </r>
  <r>
    <x v="30"/>
    <x v="3"/>
    <n v="24280"/>
    <x v="23"/>
    <n v="35"/>
    <n v="-10"/>
    <n v="694"/>
    <n v="72974146"/>
    <n v="11"/>
  </r>
  <r>
    <x v="31"/>
    <x v="21"/>
    <n v="19834"/>
    <x v="6"/>
    <n v="37"/>
    <n v="-61"/>
    <n v="536"/>
    <n v="613443"/>
    <n v="3"/>
  </r>
  <r>
    <x v="32"/>
    <x v="22"/>
    <n v="19658"/>
    <x v="24"/>
    <n v="20"/>
    <n v="-7"/>
    <n v="983"/>
    <n v="1468024"/>
    <n v="40"/>
  </r>
  <r>
    <x v="33"/>
    <x v="23"/>
    <n v="17901"/>
    <x v="25"/>
    <n v="100"/>
    <n v="-332"/>
    <n v="179"/>
    <n v="360653"/>
    <n v="2"/>
  </r>
  <r>
    <x v="34"/>
    <x v="21"/>
    <n v="15696"/>
    <x v="26"/>
    <n v="6"/>
    <n v="4"/>
    <n v="2616"/>
    <n v="1901675"/>
    <n v="15"/>
  </r>
  <r>
    <x v="35"/>
    <x v="24"/>
    <n v="15652"/>
    <x v="24"/>
    <n v="19"/>
    <n v="2"/>
    <n v="824"/>
    <n v="131956"/>
    <n v="4"/>
  </r>
  <r>
    <x v="36"/>
    <x v="25"/>
    <n v="13045"/>
    <x v="27"/>
    <n v="3"/>
    <n v="2"/>
    <n v="4348"/>
    <n v="26434"/>
    <n v="2"/>
  </r>
  <r>
    <x v="37"/>
    <x v="21"/>
    <n v="8737"/>
    <x v="28"/>
    <n v="10"/>
    <n v="-6"/>
    <n v="874"/>
    <n v="629054"/>
    <n v="8"/>
  </r>
  <r>
    <x v="38"/>
    <x v="11"/>
    <n v="6395"/>
    <x v="18"/>
    <n v="21"/>
    <n v="-180"/>
    <n v="305"/>
    <n v="895473"/>
    <n v="4"/>
  </r>
  <r>
    <x v="39"/>
    <x v="26"/>
    <n v="6100"/>
    <x v="29"/>
    <n v="2"/>
    <s v="n/c"/>
    <n v="3050"/>
    <n v="20100"/>
    <n v="45"/>
  </r>
  <r>
    <x v="40"/>
    <x v="19"/>
    <n v="4334"/>
    <x v="30"/>
    <n v="3"/>
    <n v="2"/>
    <n v="1445"/>
    <n v="2921108"/>
    <n v="2267"/>
  </r>
  <r>
    <x v="41"/>
    <x v="27"/>
    <n v="2746"/>
    <x v="31"/>
    <n v="4"/>
    <n v="-11"/>
    <n v="687"/>
    <n v="346748"/>
    <n v="7"/>
  </r>
  <r>
    <x v="42"/>
    <x v="28"/>
    <n v="2650"/>
    <x v="32"/>
    <n v="6"/>
    <s v="n/c"/>
    <n v="442"/>
    <n v="27605"/>
    <n v="7"/>
  </r>
  <r>
    <x v="43"/>
    <x v="17"/>
    <n v="2553"/>
    <x v="33"/>
    <n v="8"/>
    <s v="n/c"/>
    <n v="319"/>
    <n v="134741"/>
    <n v="6"/>
  </r>
  <r>
    <x v="44"/>
    <x v="28"/>
    <n v="2356"/>
    <x v="34"/>
    <n v="2"/>
    <n v="-2"/>
    <n v="1178"/>
    <n v="31449"/>
    <n v="2380"/>
  </r>
  <r>
    <x v="45"/>
    <x v="29"/>
    <n v="2056"/>
    <x v="35"/>
    <n v="3"/>
    <s v="n/c"/>
    <n v="685"/>
    <n v="33327"/>
    <n v="8"/>
  </r>
  <r>
    <x v="46"/>
    <x v="18"/>
    <n v="1797"/>
    <x v="36"/>
    <n v="8"/>
    <n v="-12"/>
    <n v="225"/>
    <n v="115624"/>
    <n v="6"/>
  </r>
  <r>
    <x v="47"/>
    <x v="19"/>
    <n v="1488"/>
    <x v="37"/>
    <n v="3"/>
    <n v="-1"/>
    <n v="496"/>
    <n v="1380689"/>
    <n v="1762"/>
  </r>
  <r>
    <x v="48"/>
    <x v="28"/>
    <n v="1429"/>
    <x v="38"/>
    <n v="1"/>
    <n v="-2"/>
    <n v="1429"/>
    <n v="100374"/>
    <n v="11"/>
  </r>
  <r>
    <x v="49"/>
    <x v="28"/>
    <n v="1225"/>
    <x v="11"/>
    <n v="2"/>
    <n v="-7"/>
    <n v="613"/>
    <n v="80519"/>
    <n v="5"/>
  </r>
  <r>
    <x v="50"/>
    <x v="28"/>
    <n v="1143"/>
    <x v="36"/>
    <n v="1"/>
    <n v="-1"/>
    <n v="1143"/>
    <n v="206387"/>
    <n v="793"/>
  </r>
  <r>
    <x v="51"/>
    <x v="21"/>
    <n v="1053"/>
    <x v="17"/>
    <n v="5"/>
    <n v="-7"/>
    <n v="211"/>
    <n v="2078331"/>
    <n v="6"/>
  </r>
  <r>
    <x v="52"/>
    <x v="30"/>
    <n v="968"/>
    <x v="39"/>
    <n v="1"/>
    <s v="n/c"/>
    <n v="968"/>
    <n v="9318"/>
    <n v="5"/>
  </r>
  <r>
    <x v="53"/>
    <x v="14"/>
    <n v="934"/>
    <x v="12"/>
    <n v="2"/>
    <n v="-3"/>
    <n v="467"/>
    <n v="15477"/>
    <n v="3"/>
  </r>
  <r>
    <x v="54"/>
    <x v="31"/>
    <n v="931"/>
    <x v="40"/>
    <n v="2"/>
    <n v="-385"/>
    <n v="466"/>
    <n v="309757"/>
    <n v="2"/>
  </r>
  <r>
    <x v="55"/>
    <x v="31"/>
    <n v="576"/>
    <x v="41"/>
    <n v="1"/>
    <n v="-9"/>
    <n v="576"/>
    <n v="111562"/>
    <n v="3"/>
  </r>
  <r>
    <x v="56"/>
    <x v="14"/>
    <n v="566"/>
    <x v="1"/>
    <n v="1"/>
    <s v=" "/>
    <n v="566"/>
    <n v="525511"/>
    <n v="26"/>
  </r>
  <r>
    <x v="57"/>
    <x v="29"/>
    <n v="533"/>
    <x v="1"/>
    <n v="1"/>
    <s v=" "/>
    <n v="533"/>
    <n v="350173"/>
    <n v="18"/>
  </r>
  <r>
    <x v="58"/>
    <x v="32"/>
    <n v="451"/>
    <x v="1"/>
    <n v="1"/>
    <s v=" "/>
    <n v="451"/>
    <n v="203102"/>
    <n v="565"/>
  </r>
  <r>
    <x v="59"/>
    <x v="28"/>
    <n v="357"/>
    <x v="27"/>
    <n v="1"/>
    <s v="n/c"/>
    <n v="357"/>
    <n v="70840"/>
    <n v="1244"/>
  </r>
  <r>
    <x v="60"/>
    <x v="30"/>
    <n v="275"/>
    <x v="42"/>
    <n v="1"/>
    <s v="n/c"/>
    <n v="275"/>
    <n v="639150"/>
    <n v="1373"/>
  </r>
  <r>
    <x v="61"/>
    <x v="28"/>
    <n v="272"/>
    <x v="43"/>
    <n v="2"/>
    <n v="1"/>
    <n v="136"/>
    <n v="26575"/>
    <n v="6"/>
  </r>
  <r>
    <x v="62"/>
    <x v="30"/>
    <n v="250"/>
    <x v="44"/>
    <n v="1"/>
    <s v="n/c"/>
    <n v="250"/>
    <n v="45050"/>
    <n v="1337"/>
  </r>
  <r>
    <x v="63"/>
    <x v="14"/>
    <n v="243"/>
    <x v="6"/>
    <n v="2"/>
    <s v="n/c"/>
    <n v="122"/>
    <n v="151832"/>
    <n v="11"/>
  </r>
  <r>
    <x v="64"/>
    <x v="14"/>
    <n v="214"/>
    <x v="45"/>
    <n v="1"/>
    <s v="n/c"/>
    <n v="214"/>
    <n v="87986"/>
    <n v="9"/>
  </r>
  <r>
    <x v="65"/>
    <x v="30"/>
    <n v="202"/>
    <x v="15"/>
    <n v="1"/>
    <s v="n/c"/>
    <n v="202"/>
    <n v="39972"/>
    <n v="13"/>
  </r>
  <r>
    <x v="66"/>
    <x v="29"/>
    <n v="146"/>
    <x v="1"/>
    <n v="1"/>
    <s v=" "/>
    <n v="146"/>
    <n v="108957"/>
    <n v="16"/>
  </r>
  <r>
    <x v="67"/>
    <x v="33"/>
    <n v="67"/>
    <x v="1"/>
    <n v="1"/>
    <s v=" "/>
    <n v="67"/>
    <n v="7282"/>
    <n v="4"/>
  </r>
  <r>
    <x v="68"/>
    <x v="34"/>
    <n v="50"/>
    <x v="46"/>
    <n v="1"/>
    <n v="-1"/>
    <n v="50"/>
    <n v="27278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E7367-5C74-4962-97D1-E875102D6B2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9">
    <pivotField axis="axisRow" showAll="0" measureFilter="1" sortType="ascending">
      <items count="70">
        <item x="23"/>
        <item x="68"/>
        <item x="32"/>
        <item x="35"/>
        <item x="52"/>
        <item x="29"/>
        <item x="2"/>
        <item x="41"/>
        <item x="40"/>
        <item x="50"/>
        <item x="37"/>
        <item x="31"/>
        <item x="20"/>
        <item x="56"/>
        <item x="55"/>
        <item x="30"/>
        <item x="12"/>
        <item x="63"/>
        <item x="46"/>
        <item x="3"/>
        <item x="47"/>
        <item x="54"/>
        <item x="67"/>
        <item x="14"/>
        <item x="45"/>
        <item x="19"/>
        <item x="66"/>
        <item x="65"/>
        <item x="27"/>
        <item x="34"/>
        <item x="1"/>
        <item x="11"/>
        <item x="64"/>
        <item x="13"/>
        <item x="26"/>
        <item x="22"/>
        <item x="48"/>
        <item x="61"/>
        <item x="38"/>
        <item x="16"/>
        <item x="44"/>
        <item x="8"/>
        <item x="51"/>
        <item x="60"/>
        <item x="57"/>
        <item x="36"/>
        <item x="28"/>
        <item x="15"/>
        <item x="39"/>
        <item x="42"/>
        <item x="25"/>
        <item x="21"/>
        <item x="43"/>
        <item x="24"/>
        <item x="49"/>
        <item x="18"/>
        <item x="7"/>
        <item x="53"/>
        <item x="59"/>
        <item x="6"/>
        <item x="62"/>
        <item x="5"/>
        <item x="9"/>
        <item x="4"/>
        <item x="58"/>
        <item x="10"/>
        <item x="17"/>
        <item x="3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6" showAll="0"/>
    <pivotField showAll="0"/>
    <pivotField showAll="0"/>
    <pivotField showAll="0"/>
    <pivotField numFmtId="6" showAll="0"/>
    <pivotField dataField="1" numFmtId="6" showAll="0"/>
    <pivotField showAll="0"/>
  </pivotFields>
  <rowFields count="1">
    <field x="0"/>
  </rowFields>
  <rowItems count="11">
    <i>
      <x v="59"/>
    </i>
    <i>
      <x v="19"/>
    </i>
    <i>
      <x v="68"/>
    </i>
    <i>
      <x v="16"/>
    </i>
    <i>
      <x v="25"/>
    </i>
    <i>
      <x v="61"/>
    </i>
    <i>
      <x v="30"/>
    </i>
    <i>
      <x v="31"/>
    </i>
    <i>
      <x v="56"/>
    </i>
    <i>
      <x v="33"/>
    </i>
    <i t="grand">
      <x/>
    </i>
  </rowItems>
  <colItems count="1">
    <i/>
  </colItems>
  <dataFields count="1">
    <dataField name="Sum of Total_x000a_Gross" fld="7" baseField="0" baseItem="0" numFmtId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866C6-DD27-488E-830F-26A3960BD735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13" firstHeaderRow="1" firstDataRow="1" firstDataCol="1"/>
  <pivotFields count="9">
    <pivotField compact="0" outline="0" showAll="0"/>
    <pivotField axis="axisRow" compact="0" outline="0" showAll="0" measureFilter="1" sortType="descending">
      <items count="36">
        <item x="9"/>
        <item x="15"/>
        <item x="8"/>
        <item x="24"/>
        <item x="25"/>
        <item x="33"/>
        <item x="7"/>
        <item x="12"/>
        <item x="17"/>
        <item x="31"/>
        <item x="6"/>
        <item x="30"/>
        <item x="27"/>
        <item x="28"/>
        <item x="18"/>
        <item x="22"/>
        <item x="13"/>
        <item x="14"/>
        <item x="10"/>
        <item x="32"/>
        <item x="20"/>
        <item x="5"/>
        <item x="23"/>
        <item x="19"/>
        <item x="4"/>
        <item x="21"/>
        <item x="2"/>
        <item x="16"/>
        <item x="1"/>
        <item x="29"/>
        <item x="11"/>
        <item x="3"/>
        <item x="0"/>
        <item x="34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6" outline="0" showAll="0"/>
    <pivotField compact="0" outline="0" showAll="0"/>
    <pivotField compact="0" outline="0" showAll="0"/>
    <pivotField compact="0" outline="0" showAll="0"/>
    <pivotField compact="0" numFmtId="6" outline="0" showAll="0"/>
    <pivotField dataField="1" compact="0" numFmtId="6" outline="0" showAll="0"/>
    <pivotField compact="0" outline="0" showAll="0"/>
  </pivotFields>
  <rowFields count="1">
    <field x="1"/>
  </rowFields>
  <rowItems count="11">
    <i>
      <x v="28"/>
    </i>
    <i>
      <x v="31"/>
    </i>
    <i>
      <x v="32"/>
    </i>
    <i>
      <x v="21"/>
    </i>
    <i>
      <x/>
    </i>
    <i>
      <x v="18"/>
    </i>
    <i>
      <x v="1"/>
    </i>
    <i>
      <x v="26"/>
    </i>
    <i>
      <x v="23"/>
    </i>
    <i>
      <x v="24"/>
    </i>
    <i t="grand">
      <x/>
    </i>
  </rowItems>
  <colItems count="1">
    <i/>
  </colItems>
  <dataFields count="1">
    <dataField name="Sum of Total" fld="7" baseField="1" baseItem="28" numFmtId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8124D-1735-C44C-93B6-E6A1E07B4F3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38" firstHeaderRow="1" firstDataRow="1" firstDataCol="1"/>
  <pivotFields count="9">
    <pivotField showAll="0"/>
    <pivotField axis="axisRow" showAll="0" sortType="descending">
      <items count="37">
        <item h="1" x="26"/>
        <item x="34"/>
        <item x="0"/>
        <item x="3"/>
        <item x="11"/>
        <item x="29"/>
        <item x="1"/>
        <item x="16"/>
        <item x="2"/>
        <item x="21"/>
        <item x="4"/>
        <item x="19"/>
        <item x="23"/>
        <item x="5"/>
        <item x="20"/>
        <item x="32"/>
        <item x="10"/>
        <item x="14"/>
        <item x="13"/>
        <item x="22"/>
        <item x="18"/>
        <item x="28"/>
        <item x="27"/>
        <item x="30"/>
        <item x="6"/>
        <item x="31"/>
        <item x="17"/>
        <item x="12"/>
        <item x="7"/>
        <item x="33"/>
        <item x="25"/>
        <item x="24"/>
        <item x="8"/>
        <item x="15"/>
        <item x="9"/>
        <item h="1"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72">
        <item x="68"/>
        <item x="67"/>
        <item x="70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9"/>
        <item t="default"/>
      </items>
    </pivotField>
    <pivotField showAll="0"/>
    <pivotField showAll="0"/>
    <pivotField showAll="0"/>
    <pivotField showAll="0"/>
    <pivotField showAll="0">
      <items count="72">
        <item x="67"/>
        <item x="52"/>
        <item x="53"/>
        <item x="39"/>
        <item x="36"/>
        <item x="61"/>
        <item x="68"/>
        <item x="42"/>
        <item x="44"/>
        <item x="45"/>
        <item x="65"/>
        <item x="62"/>
        <item x="26"/>
        <item x="25"/>
        <item x="23"/>
        <item x="59"/>
        <item x="49"/>
        <item x="64"/>
        <item x="48"/>
        <item x="66"/>
        <item x="55"/>
        <item x="46"/>
        <item x="35"/>
        <item x="43"/>
        <item x="63"/>
        <item x="22"/>
        <item x="58"/>
        <item x="50"/>
        <item x="54"/>
        <item x="18"/>
        <item x="41"/>
        <item x="57"/>
        <item x="33"/>
        <item x="56"/>
        <item x="31"/>
        <item x="37"/>
        <item x="60"/>
        <item x="38"/>
        <item x="29"/>
        <item x="27"/>
        <item x="47"/>
        <item x="32"/>
        <item x="20"/>
        <item x="10"/>
        <item x="34"/>
        <item x="51"/>
        <item x="15"/>
        <item x="40"/>
        <item x="28"/>
        <item x="14"/>
        <item x="21"/>
        <item x="4"/>
        <item x="2"/>
        <item x="24"/>
        <item x="8"/>
        <item x="17"/>
        <item x="16"/>
        <item x="9"/>
        <item x="30"/>
        <item x="6"/>
        <item x="3"/>
        <item x="0"/>
        <item x="12"/>
        <item x="19"/>
        <item x="5"/>
        <item x="1"/>
        <item x="11"/>
        <item x="7"/>
        <item x="13"/>
        <item x="69"/>
        <item x="70"/>
        <item t="default"/>
      </items>
    </pivotField>
    <pivotField showAll="0"/>
  </pivotFields>
  <rowFields count="1">
    <field x="1"/>
  </rowFields>
  <rowItems count="35">
    <i>
      <x v="6"/>
    </i>
    <i>
      <x v="2"/>
    </i>
    <i>
      <x v="3"/>
    </i>
    <i>
      <x v="8"/>
    </i>
    <i>
      <x v="10"/>
    </i>
    <i>
      <x v="13"/>
    </i>
    <i>
      <x v="24"/>
    </i>
    <i>
      <x v="28"/>
    </i>
    <i>
      <x v="16"/>
    </i>
    <i>
      <x v="32"/>
    </i>
    <i>
      <x v="34"/>
    </i>
    <i>
      <x v="4"/>
    </i>
    <i>
      <x v="27"/>
    </i>
    <i>
      <x v="18"/>
    </i>
    <i>
      <x v="17"/>
    </i>
    <i>
      <x v="33"/>
    </i>
    <i>
      <x v="7"/>
    </i>
    <i>
      <x v="26"/>
    </i>
    <i>
      <x v="9"/>
    </i>
    <i>
      <x v="20"/>
    </i>
    <i>
      <x v="11"/>
    </i>
    <i>
      <x v="14"/>
    </i>
    <i>
      <x v="19"/>
    </i>
    <i>
      <x v="12"/>
    </i>
    <i>
      <x v="31"/>
    </i>
    <i>
      <x v="30"/>
    </i>
    <i>
      <x v="21"/>
    </i>
    <i>
      <x v="22"/>
    </i>
    <i>
      <x v="5"/>
    </i>
    <i>
      <x v="23"/>
    </i>
    <i>
      <x v="25"/>
    </i>
    <i>
      <x v="15"/>
    </i>
    <i>
      <x v="29"/>
    </i>
    <i>
      <x v="1"/>
    </i>
    <i t="grand">
      <x/>
    </i>
  </rowItems>
  <colItems count="1">
    <i/>
  </colItems>
  <dataFields count="1">
    <dataField name="Sum of Gross" fld="2" baseField="0" baseItem="0"/>
  </dataFields>
  <formats count="1">
    <format dxfId="0">
      <pivotArea outline="0" collapsedLevelsAreSubtotals="1" fieldPosition="0"/>
    </format>
  </formats>
  <chartFormats count="3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0BFD5-3D4E-4541-8C42-5C7B62A8D969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C13" firstHeaderRow="0" firstDataRow="1" firstDataCol="1"/>
  <pivotFields count="9">
    <pivotField axis="axisRow" compact="0" outline="0" showAll="0" measureFilter="1" sortType="descending">
      <items count="70">
        <item x="23"/>
        <item x="68"/>
        <item x="32"/>
        <item x="35"/>
        <item x="52"/>
        <item x="29"/>
        <item x="2"/>
        <item x="41"/>
        <item x="40"/>
        <item x="50"/>
        <item x="37"/>
        <item x="31"/>
        <item x="20"/>
        <item x="56"/>
        <item x="55"/>
        <item x="30"/>
        <item x="12"/>
        <item x="63"/>
        <item x="46"/>
        <item x="3"/>
        <item x="47"/>
        <item x="54"/>
        <item x="67"/>
        <item x="14"/>
        <item x="45"/>
        <item x="19"/>
        <item x="66"/>
        <item x="65"/>
        <item x="27"/>
        <item x="34"/>
        <item x="1"/>
        <item x="11"/>
        <item x="64"/>
        <item x="13"/>
        <item x="26"/>
        <item x="22"/>
        <item x="48"/>
        <item x="61"/>
        <item x="38"/>
        <item x="16"/>
        <item x="44"/>
        <item x="8"/>
        <item x="51"/>
        <item x="60"/>
        <item x="57"/>
        <item x="36"/>
        <item x="28"/>
        <item x="15"/>
        <item x="39"/>
        <item x="42"/>
        <item x="25"/>
        <item x="21"/>
        <item x="43"/>
        <item x="24"/>
        <item x="49"/>
        <item x="18"/>
        <item x="7"/>
        <item x="53"/>
        <item x="59"/>
        <item x="6"/>
        <item x="62"/>
        <item x="5"/>
        <item x="9"/>
        <item x="4"/>
        <item x="58"/>
        <item x="10"/>
        <item x="17"/>
        <item x="33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numFmtId="6" outline="0" showAll="0"/>
    <pivotField compact="0" outline="0" showAll="0"/>
    <pivotField dataField="1" compact="0" outline="0" showAll="0"/>
    <pivotField compact="0" outline="0" showAll="0"/>
    <pivotField compact="0" numFmtId="6" outline="0" showAll="0"/>
    <pivotField dataField="1" compact="0" numFmtId="6" outline="0" showAll="0"/>
    <pivotField compact="0" outline="0" showAll="0"/>
  </pivotFields>
  <rowFields count="1">
    <field x="0"/>
  </rowFields>
  <rowItems count="11">
    <i>
      <x v="33"/>
    </i>
    <i>
      <x v="56"/>
    </i>
    <i>
      <x v="31"/>
    </i>
    <i>
      <x v="30"/>
    </i>
    <i>
      <x v="61"/>
    </i>
    <i>
      <x v="25"/>
    </i>
    <i>
      <x v="16"/>
    </i>
    <i>
      <x v="68"/>
    </i>
    <i>
      <x v="19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heaters" fld="4" subtotal="average" baseField="0" baseItem="0"/>
    <dataField name="Average of TotalGross" fld="7" subtotal="average" baseField="0" baseItem="0" numFmtId="6"/>
  </dataField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D1F9E-97D7-42AC-B69D-C2860CFE767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9">
    <pivotField axis="axisRow" showAll="0" measureFilter="1" sortType="descending">
      <items count="70">
        <item x="23"/>
        <item x="68"/>
        <item x="32"/>
        <item x="35"/>
        <item x="52"/>
        <item x="29"/>
        <item x="2"/>
        <item x="41"/>
        <item x="40"/>
        <item x="50"/>
        <item x="37"/>
        <item x="31"/>
        <item x="20"/>
        <item x="56"/>
        <item x="55"/>
        <item x="30"/>
        <item x="12"/>
        <item x="63"/>
        <item x="46"/>
        <item x="3"/>
        <item x="47"/>
        <item x="54"/>
        <item x="67"/>
        <item x="14"/>
        <item x="45"/>
        <item x="19"/>
        <item x="66"/>
        <item x="65"/>
        <item x="27"/>
        <item x="34"/>
        <item x="1"/>
        <item x="11"/>
        <item x="64"/>
        <item x="13"/>
        <item x="26"/>
        <item x="22"/>
        <item x="48"/>
        <item x="61"/>
        <item x="38"/>
        <item x="16"/>
        <item x="44"/>
        <item x="8"/>
        <item x="51"/>
        <item x="60"/>
        <item x="57"/>
        <item x="36"/>
        <item x="28"/>
        <item x="15"/>
        <item x="39"/>
        <item x="42"/>
        <item x="25"/>
        <item x="21"/>
        <item x="43"/>
        <item x="24"/>
        <item x="49"/>
        <item x="18"/>
        <item x="7"/>
        <item x="53"/>
        <item x="59"/>
        <item x="6"/>
        <item x="62"/>
        <item x="5"/>
        <item x="9"/>
        <item x="4"/>
        <item x="58"/>
        <item x="10"/>
        <item x="17"/>
        <item x="3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6" showAll="0"/>
    <pivotField dataField="1" showAll="0">
      <items count="48">
        <item x="40"/>
        <item x="46"/>
        <item x="25"/>
        <item x="17"/>
        <item x="13"/>
        <item x="12"/>
        <item x="20"/>
        <item x="41"/>
        <item x="11"/>
        <item x="18"/>
        <item x="31"/>
        <item x="16"/>
        <item x="36"/>
        <item x="14"/>
        <item x="6"/>
        <item x="29"/>
        <item x="24"/>
        <item x="7"/>
        <item x="22"/>
        <item x="9"/>
        <item x="0"/>
        <item x="8"/>
        <item x="5"/>
        <item x="2"/>
        <item x="45"/>
        <item x="43"/>
        <item x="3"/>
        <item x="4"/>
        <item x="37"/>
        <item x="34"/>
        <item x="33"/>
        <item x="42"/>
        <item x="30"/>
        <item x="32"/>
        <item x="27"/>
        <item x="44"/>
        <item x="23"/>
        <item x="35"/>
        <item x="28"/>
        <item x="15"/>
        <item x="19"/>
        <item x="38"/>
        <item x="39"/>
        <item x="21"/>
        <item x="10"/>
        <item x="26"/>
        <item x="1"/>
        <item t="default"/>
      </items>
    </pivotField>
    <pivotField showAll="0"/>
    <pivotField showAll="0"/>
    <pivotField numFmtId="6" showAll="0"/>
    <pivotField numFmtId="6" showAll="0"/>
    <pivotField showAll="0"/>
  </pivotFields>
  <rowFields count="1">
    <field x="0"/>
  </rowFields>
  <rowItems count="11">
    <i>
      <x v="53"/>
    </i>
    <i>
      <x v="28"/>
    </i>
    <i>
      <x v="57"/>
    </i>
    <i>
      <x v="47"/>
    </i>
    <i>
      <x v="39"/>
    </i>
    <i>
      <x v="42"/>
    </i>
    <i>
      <x v="12"/>
    </i>
    <i>
      <x v="67"/>
    </i>
    <i>
      <x v="1"/>
    </i>
    <i>
      <x v="21"/>
    </i>
    <i t="grand">
      <x/>
    </i>
  </rowItems>
  <colItems count="1">
    <i/>
  </colItems>
  <dataFields count="1">
    <dataField name="Max of %LW" fld="3" subtotal="max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LessThanOrEqual" evalOrder="-1" id="6" iMeasureFld="0">
      <autoFilter ref="A1">
        <filterColumn colId="0">
          <customFilters>
            <customFilter operator="lessThanOrEqual" val="-0.7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BC836-EFA0-4CA3-91F6-1F3F1B890CF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9">
    <pivotField axis="axisRow" showAll="0" measureFilter="1" sortType="descending">
      <items count="70">
        <item x="23"/>
        <item x="68"/>
        <item x="32"/>
        <item x="35"/>
        <item x="52"/>
        <item x="29"/>
        <item x="2"/>
        <item x="41"/>
        <item x="40"/>
        <item x="50"/>
        <item x="37"/>
        <item x="31"/>
        <item x="20"/>
        <item x="56"/>
        <item x="55"/>
        <item x="30"/>
        <item x="12"/>
        <item x="63"/>
        <item x="46"/>
        <item x="3"/>
        <item x="47"/>
        <item x="54"/>
        <item x="67"/>
        <item x="14"/>
        <item x="45"/>
        <item x="19"/>
        <item x="66"/>
        <item x="65"/>
        <item x="27"/>
        <item x="34"/>
        <item x="1"/>
        <item x="11"/>
        <item x="64"/>
        <item x="13"/>
        <item x="26"/>
        <item x="22"/>
        <item x="48"/>
        <item x="61"/>
        <item x="38"/>
        <item x="16"/>
        <item x="44"/>
        <item x="8"/>
        <item x="51"/>
        <item x="60"/>
        <item x="57"/>
        <item x="36"/>
        <item x="28"/>
        <item x="15"/>
        <item x="39"/>
        <item x="42"/>
        <item x="25"/>
        <item x="21"/>
        <item x="43"/>
        <item x="24"/>
        <item x="49"/>
        <item x="18"/>
        <item x="7"/>
        <item x="53"/>
        <item x="59"/>
        <item x="6"/>
        <item x="62"/>
        <item x="5"/>
        <item x="9"/>
        <item x="4"/>
        <item x="58"/>
        <item x="10"/>
        <item x="17"/>
        <item x="3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6" showAll="0"/>
    <pivotField dataField="1" showAll="0">
      <items count="48">
        <item x="40"/>
        <item x="46"/>
        <item x="25"/>
        <item x="17"/>
        <item x="13"/>
        <item x="12"/>
        <item x="20"/>
        <item x="41"/>
        <item x="11"/>
        <item x="18"/>
        <item x="31"/>
        <item x="16"/>
        <item x="36"/>
        <item x="14"/>
        <item x="6"/>
        <item x="29"/>
        <item x="24"/>
        <item x="7"/>
        <item x="22"/>
        <item x="9"/>
        <item x="0"/>
        <item x="8"/>
        <item x="5"/>
        <item x="2"/>
        <item x="45"/>
        <item x="43"/>
        <item x="3"/>
        <item x="4"/>
        <item x="37"/>
        <item x="34"/>
        <item x="33"/>
        <item x="42"/>
        <item x="30"/>
        <item x="32"/>
        <item x="27"/>
        <item x="44"/>
        <item x="23"/>
        <item x="35"/>
        <item x="28"/>
        <item x="15"/>
        <item x="19"/>
        <item x="38"/>
        <item x="39"/>
        <item x="21"/>
        <item x="10"/>
        <item x="26"/>
        <item x="1"/>
        <item t="default"/>
      </items>
    </pivotField>
    <pivotField showAll="0"/>
    <pivotField showAll="0"/>
    <pivotField numFmtId="6" showAll="0"/>
    <pivotField numFmtId="6" showAll="0"/>
    <pivotField showAll="0"/>
  </pivotFields>
  <rowFields count="1">
    <field x="0"/>
  </rowFields>
  <rowItems count="11">
    <i>
      <x v="29"/>
    </i>
    <i>
      <x v="33"/>
    </i>
    <i>
      <x v="46"/>
    </i>
    <i>
      <x v="4"/>
    </i>
    <i>
      <x v="36"/>
    </i>
    <i>
      <x v="35"/>
    </i>
    <i>
      <x v="27"/>
    </i>
    <i>
      <x v="55"/>
    </i>
    <i>
      <x v="10"/>
    </i>
    <i>
      <x v="24"/>
    </i>
    <i t="grand">
      <x/>
    </i>
  </rowItems>
  <colItems count="1">
    <i/>
  </colItems>
  <dataFields count="1">
    <dataField name="Max of %LW" fld="3" subtotal="max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D5092-2414-4635-875E-0A29570FCFB8}" name="Table1" displayName="Table1" ref="A2:I71" totalsRowShown="0" headerRowDxfId="11" headerRowBorderDxfId="10" tableBorderDxfId="9" totalsRowBorderDxfId="8">
  <autoFilter ref="A2:I71" xr:uid="{031D5092-2414-4635-875E-0A29570FCFB8}"/>
  <tableColumns count="9">
    <tableColumn id="1" xr3:uid="{978D2151-F2DF-48DD-B83B-170797C67512}" name="Movie Title" dataDxfId="7" dataCellStyle="Hyperlink"/>
    <tableColumn id="2" xr3:uid="{788C0164-6C38-4535-959B-6A36DE5A9F33}" name="Distributor" dataDxfId="6" dataCellStyle="Hyperlink"/>
    <tableColumn id="3" xr3:uid="{B244766E-4135-4C8D-A220-09E3BCABFC35}" name="Gross" dataDxfId="5"/>
    <tableColumn id="4" xr3:uid="{A7348C0A-020C-4606-A8D9-9192850C9E49}" name="%LW"/>
    <tableColumn id="5" xr3:uid="{CB012573-FA3B-4915-9427-C7C8E055F369}" name="Theaters" dataDxfId="4"/>
    <tableColumn id="6" xr3:uid="{4E42175E-9347-4F79-A0E5-2BB2E1C1E495}" name="Theaters_x000a_Change"/>
    <tableColumn id="7" xr3:uid="{46A15036-0FEB-4AEE-990C-D3CB4FB452DC}" name="Per_x000a_Theater" dataDxfId="3"/>
    <tableColumn id="8" xr3:uid="{8FF0710F-7F7C-48B3-BB3F-964C9D088A41}" name="Total_x000a_Gross" dataDxfId="2"/>
    <tableColumn id="9" xr3:uid="{28BA18AB-1D54-4853-B7EC-B6B0BF32F312}" name="Weekends In_x000a_Relea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e-numbers.com/market/distributor/Orion-Pictures" TargetMode="External"/><Relationship Id="rId21" Type="http://schemas.openxmlformats.org/officeDocument/2006/relationships/hyperlink" Target="https://www.the-numbers.com/movie/Toxic-Avenger-Unrated-The-(2025)" TargetMode="External"/><Relationship Id="rId42" Type="http://schemas.openxmlformats.org/officeDocument/2006/relationships/hyperlink" Target="https://www.the-numbers.com/market/distributor/Vertical-Entertainment" TargetMode="External"/><Relationship Id="rId63" Type="http://schemas.openxmlformats.org/officeDocument/2006/relationships/hyperlink" Target="https://www.the-numbers.com/movie/East-of-Wall-(2025)" TargetMode="External"/><Relationship Id="rId84" Type="http://schemas.openxmlformats.org/officeDocument/2006/relationships/hyperlink" Target="https://www.the-numbers.com/movie/Shari-and-Lamb-Chop-(2025)" TargetMode="External"/><Relationship Id="rId138" Type="http://schemas.openxmlformats.org/officeDocument/2006/relationships/drawing" Target="../drawings/drawing1.xml"/><Relationship Id="rId16" Type="http://schemas.openxmlformats.org/officeDocument/2006/relationships/hyperlink" Target="https://www.the-numbers.com/market/distributor/Warner-Bros" TargetMode="External"/><Relationship Id="rId107" Type="http://schemas.openxmlformats.org/officeDocument/2006/relationships/hyperlink" Target="https://www.the-numbers.com/market/distributor/Music-Box-Films" TargetMode="External"/><Relationship Id="rId11" Type="http://schemas.openxmlformats.org/officeDocument/2006/relationships/hyperlink" Target="https://www.the-numbers.com/movie/Fantastic-Four-The-First-Steps-(2025)" TargetMode="External"/><Relationship Id="rId32" Type="http://schemas.openxmlformats.org/officeDocument/2006/relationships/hyperlink" Target="https://www.the-numbers.com/market/distributor/Bleecker-Street" TargetMode="External"/><Relationship Id="rId37" Type="http://schemas.openxmlformats.org/officeDocument/2006/relationships/hyperlink" Target="https://www.the-numbers.com/movie/Splitsville-(2025)" TargetMode="External"/><Relationship Id="rId53" Type="http://schemas.openxmlformats.org/officeDocument/2006/relationships/hyperlink" Target="https://www.the-numbers.com/movie/Love-Brooklyn-(2025)" TargetMode="External"/><Relationship Id="rId58" Type="http://schemas.openxmlformats.org/officeDocument/2006/relationships/hyperlink" Target="https://www.the-numbers.com/market/distributor/Rialto-Pictures" TargetMode="External"/><Relationship Id="rId74" Type="http://schemas.openxmlformats.org/officeDocument/2006/relationships/hyperlink" Target="https://www.the-numbers.com/market/distributor/Circle-Collective" TargetMode="External"/><Relationship Id="rId79" Type="http://schemas.openxmlformats.org/officeDocument/2006/relationships/hyperlink" Target="https://www.the-numbers.com/movie/Seeds-(2024-Canada)" TargetMode="External"/><Relationship Id="rId102" Type="http://schemas.openxmlformats.org/officeDocument/2006/relationships/hyperlink" Target="https://www.the-numbers.com/movie/Oh-Hi-(2025)" TargetMode="External"/><Relationship Id="rId123" Type="http://schemas.openxmlformats.org/officeDocument/2006/relationships/hyperlink" Target="https://www.the-numbers.com/market/distributor/Kino-Lorber" TargetMode="External"/><Relationship Id="rId128" Type="http://schemas.openxmlformats.org/officeDocument/2006/relationships/hyperlink" Target="https://www.the-numbers.com/movie/Jockey-El-(2024-Argentina)" TargetMode="External"/><Relationship Id="rId5" Type="http://schemas.openxmlformats.org/officeDocument/2006/relationships/hyperlink" Target="https://www.the-numbers.com/movie/Caught-Stealing-(2025)" TargetMode="External"/><Relationship Id="rId90" Type="http://schemas.openxmlformats.org/officeDocument/2006/relationships/hyperlink" Target="https://www.the-numbers.com/movie/Hotspring-Sharkattack-(2024-Japan)" TargetMode="External"/><Relationship Id="rId95" Type="http://schemas.openxmlformats.org/officeDocument/2006/relationships/hyperlink" Target="https://www.the-numbers.com/market/distributor/Rialto-Pictures" TargetMode="External"/><Relationship Id="rId22" Type="http://schemas.openxmlformats.org/officeDocument/2006/relationships/hyperlink" Target="https://www.the-numbers.com/market/distributor/Iconic-Cineverse" TargetMode="External"/><Relationship Id="rId27" Type="http://schemas.openxmlformats.org/officeDocument/2006/relationships/hyperlink" Target="https://www.the-numbers.com/movie/Lilo-and-Stitch-(2025)" TargetMode="External"/><Relationship Id="rId43" Type="http://schemas.openxmlformats.org/officeDocument/2006/relationships/hyperlink" Target="https://www.the-numbers.com/movie/Shin-Godzilla-(2016-Japan)" TargetMode="External"/><Relationship Id="rId48" Type="http://schemas.openxmlformats.org/officeDocument/2006/relationships/hyperlink" Target="https://www.the-numbers.com/market/distributor/Music-Box-Films" TargetMode="External"/><Relationship Id="rId64" Type="http://schemas.openxmlformats.org/officeDocument/2006/relationships/hyperlink" Target="https://www.the-numbers.com/market/distributor/Sony-Pictures-Classics" TargetMode="External"/><Relationship Id="rId69" Type="http://schemas.openxmlformats.org/officeDocument/2006/relationships/hyperlink" Target="https://www.the-numbers.com/movie/Jane-Austen-a-gache-ma-vie-(2025-France)" TargetMode="External"/><Relationship Id="rId113" Type="http://schemas.openxmlformats.org/officeDocument/2006/relationships/hyperlink" Target="https://www.the-numbers.com/market/distributor/Music-Box-Films" TargetMode="External"/><Relationship Id="rId118" Type="http://schemas.openxmlformats.org/officeDocument/2006/relationships/hyperlink" Target="https://www.the-numbers.com/movie/Annihilation-of-Fish-The" TargetMode="External"/><Relationship Id="rId134" Type="http://schemas.openxmlformats.org/officeDocument/2006/relationships/hyperlink" Target="https://www.the-numbers.com/movie/Hema-Hema-(2025-Bhutan)" TargetMode="External"/><Relationship Id="rId139" Type="http://schemas.openxmlformats.org/officeDocument/2006/relationships/table" Target="../tables/table1.xml"/><Relationship Id="rId80" Type="http://schemas.openxmlformats.org/officeDocument/2006/relationships/hyperlink" Target="https://www.the-numbers.com/movie/Diva" TargetMode="External"/><Relationship Id="rId85" Type="http://schemas.openxmlformats.org/officeDocument/2006/relationships/hyperlink" Target="https://www.the-numbers.com/market/distributor/Kino-Lorber" TargetMode="External"/><Relationship Id="rId12" Type="http://schemas.openxmlformats.org/officeDocument/2006/relationships/hyperlink" Target="https://www.the-numbers.com/market/distributor/Walt-Disney" TargetMode="External"/><Relationship Id="rId17" Type="http://schemas.openxmlformats.org/officeDocument/2006/relationships/hyperlink" Target="https://www.the-numbers.com/movie/Nobody-2-(2025)" TargetMode="External"/><Relationship Id="rId33" Type="http://schemas.openxmlformats.org/officeDocument/2006/relationships/hyperlink" Target="https://www.the-numbers.com/movie/Ne-Zha-2-(2025-China)" TargetMode="External"/><Relationship Id="rId38" Type="http://schemas.openxmlformats.org/officeDocument/2006/relationships/hyperlink" Target="https://www.the-numbers.com/market/distributor/Neon" TargetMode="External"/><Relationship Id="rId59" Type="http://schemas.openxmlformats.org/officeDocument/2006/relationships/hyperlink" Target="https://www.the-numbers.com/movie/CatVideoFest-2025-(2025)" TargetMode="External"/><Relationship Id="rId103" Type="http://schemas.openxmlformats.org/officeDocument/2006/relationships/hyperlink" Target="https://www.the-numbers.com/market/distributor/Sony-Pictures-Classics" TargetMode="External"/><Relationship Id="rId108" Type="http://schemas.openxmlformats.org/officeDocument/2006/relationships/hyperlink" Target="https://www.the-numbers.com/movie/Hell-House-LLC-Lineage-(2025)" TargetMode="External"/><Relationship Id="rId124" Type="http://schemas.openxmlformats.org/officeDocument/2006/relationships/hyperlink" Target="https://www.the-numbers.com/movie/Boondock-Saints-The" TargetMode="External"/><Relationship Id="rId129" Type="http://schemas.openxmlformats.org/officeDocument/2006/relationships/hyperlink" Target="https://www.the-numbers.com/market/distributor/Music-Box-Films" TargetMode="External"/><Relationship Id="rId54" Type="http://schemas.openxmlformats.org/officeDocument/2006/relationships/hyperlink" Target="https://www.the-numbers.com/market/distributor/Greenwich" TargetMode="External"/><Relationship Id="rId70" Type="http://schemas.openxmlformats.org/officeDocument/2006/relationships/hyperlink" Target="https://www.the-numbers.com/market/distributor/Sony-Pictures-Classics" TargetMode="External"/><Relationship Id="rId75" Type="http://schemas.openxmlformats.org/officeDocument/2006/relationships/hyperlink" Target="https://www.the-numbers.com/movie/Dont-Lets-Go-to-the-Dogs-Tonight-(2025-South-Africa)" TargetMode="External"/><Relationship Id="rId91" Type="http://schemas.openxmlformats.org/officeDocument/2006/relationships/hyperlink" Target="https://www.the-numbers.com/market/distributor/Utopia" TargetMode="External"/><Relationship Id="rId96" Type="http://schemas.openxmlformats.org/officeDocument/2006/relationships/hyperlink" Target="https://www.the-numbers.com/movie/Marlee-Matlin-Not-Alone-Anymore-(2025)" TargetMode="External"/><Relationship Id="rId1" Type="http://schemas.openxmlformats.org/officeDocument/2006/relationships/hyperlink" Target="https://www.the-numbers.com/movie/Weapons-(2025)" TargetMode="External"/><Relationship Id="rId6" Type="http://schemas.openxmlformats.org/officeDocument/2006/relationships/hyperlink" Target="https://www.the-numbers.com/market/distributor/Sony-Pictures" TargetMode="External"/><Relationship Id="rId23" Type="http://schemas.openxmlformats.org/officeDocument/2006/relationships/hyperlink" Target="https://www.the-numbers.com/movie/Jurassic-World-Rebirth-(2025)" TargetMode="External"/><Relationship Id="rId28" Type="http://schemas.openxmlformats.org/officeDocument/2006/relationships/hyperlink" Target="https://www.the-numbers.com/market/distributor/Walt-Disney" TargetMode="External"/><Relationship Id="rId49" Type="http://schemas.openxmlformats.org/officeDocument/2006/relationships/hyperlink" Target="https://www.the-numbers.com/movie/Sketch-(2025)" TargetMode="External"/><Relationship Id="rId114" Type="http://schemas.openxmlformats.org/officeDocument/2006/relationships/hyperlink" Target="https://www.the-numbers.com/movie/Pavements-(2025)" TargetMode="External"/><Relationship Id="rId119" Type="http://schemas.openxmlformats.org/officeDocument/2006/relationships/hyperlink" Target="https://www.the-numbers.com/market/distributor/Kino-Lorber" TargetMode="External"/><Relationship Id="rId44" Type="http://schemas.openxmlformats.org/officeDocument/2006/relationships/hyperlink" Target="https://www.the-numbers.com/market/distributor/GKIDS" TargetMode="External"/><Relationship Id="rId60" Type="http://schemas.openxmlformats.org/officeDocument/2006/relationships/hyperlink" Target="https://www.the-numbers.com/market/distributor/Oscilloscope-Pictures" TargetMode="External"/><Relationship Id="rId65" Type="http://schemas.openxmlformats.org/officeDocument/2006/relationships/hyperlink" Target="https://www.the-numbers.com/movie/Bad-Shabbos-(2024)" TargetMode="External"/><Relationship Id="rId81" Type="http://schemas.openxmlformats.org/officeDocument/2006/relationships/hyperlink" Target="https://www.the-numbers.com/market/distributor/Rialto-Pictures" TargetMode="External"/><Relationship Id="rId86" Type="http://schemas.openxmlformats.org/officeDocument/2006/relationships/hyperlink" Target="https://www.the-numbers.com/movie/Shoshana-(2024-United-Kingdom)" TargetMode="External"/><Relationship Id="rId130" Type="http://schemas.openxmlformats.org/officeDocument/2006/relationships/hyperlink" Target="https://www.the-numbers.com/movie/Ka-Whawhai-Tonu-(2024-New-Zealand)" TargetMode="External"/><Relationship Id="rId135" Type="http://schemas.openxmlformats.org/officeDocument/2006/relationships/hyperlink" Target="https://www.the-numbers.com/market/distributor/Dekanalog" TargetMode="External"/><Relationship Id="rId13" Type="http://schemas.openxmlformats.org/officeDocument/2006/relationships/hyperlink" Target="https://www.the-numbers.com/movie/Bad-Guys-2-The-(2025)" TargetMode="External"/><Relationship Id="rId18" Type="http://schemas.openxmlformats.org/officeDocument/2006/relationships/hyperlink" Target="https://www.the-numbers.com/market/distributor/Universal" TargetMode="External"/><Relationship Id="rId39" Type="http://schemas.openxmlformats.org/officeDocument/2006/relationships/hyperlink" Target="https://www.the-numbers.com/movie/How-to-Train-Your-Dragon-(2025)" TargetMode="External"/><Relationship Id="rId109" Type="http://schemas.openxmlformats.org/officeDocument/2006/relationships/hyperlink" Target="https://www.the-numbers.com/market/distributor/Iconic-Releasing" TargetMode="External"/><Relationship Id="rId34" Type="http://schemas.openxmlformats.org/officeDocument/2006/relationships/hyperlink" Target="https://www.the-numbers.com/market/distributor/A24" TargetMode="External"/><Relationship Id="rId50" Type="http://schemas.openxmlformats.org/officeDocument/2006/relationships/hyperlink" Target="https://www.the-numbers.com/market/distributor/Angel-Studios" TargetMode="External"/><Relationship Id="rId55" Type="http://schemas.openxmlformats.org/officeDocument/2006/relationships/hyperlink" Target="https://www.the-numbers.com/movie/Its-Never-Over-Jeff-Buckley-(2025)" TargetMode="External"/><Relationship Id="rId76" Type="http://schemas.openxmlformats.org/officeDocument/2006/relationships/hyperlink" Target="https://www.the-numbers.com/market/distributor/Sony-Pictures-Classics" TargetMode="External"/><Relationship Id="rId97" Type="http://schemas.openxmlformats.org/officeDocument/2006/relationships/hyperlink" Target="https://www.the-numbers.com/market/distributor/Kino-Lorber" TargetMode="External"/><Relationship Id="rId104" Type="http://schemas.openxmlformats.org/officeDocument/2006/relationships/hyperlink" Target="https://www.the-numbers.com/movie/Cant-Let-It-Go-(2025)" TargetMode="External"/><Relationship Id="rId120" Type="http://schemas.openxmlformats.org/officeDocument/2006/relationships/hyperlink" Target="https://www.the-numbers.com/movie/Pariah-(1999)" TargetMode="External"/><Relationship Id="rId125" Type="http://schemas.openxmlformats.org/officeDocument/2006/relationships/hyperlink" Target="https://www.the-numbers.com/market/distributor/Indican-Pictures" TargetMode="External"/><Relationship Id="rId7" Type="http://schemas.openxmlformats.org/officeDocument/2006/relationships/hyperlink" Target="https://www.the-numbers.com/movie/Freakier-Friday-(2025)" TargetMode="External"/><Relationship Id="rId71" Type="http://schemas.openxmlformats.org/officeDocument/2006/relationships/hyperlink" Target="https://www.the-numbers.com/movie/Boys-Go-to-Jupiter-(2025)" TargetMode="External"/><Relationship Id="rId92" Type="http://schemas.openxmlformats.org/officeDocument/2006/relationships/hyperlink" Target="https://www.the-numbers.com/movie/Folktales-(2025)" TargetMode="External"/><Relationship Id="rId2" Type="http://schemas.openxmlformats.org/officeDocument/2006/relationships/hyperlink" Target="https://www.the-numbers.com/market/distributor/Warner-Bros" TargetMode="External"/><Relationship Id="rId29" Type="http://schemas.openxmlformats.org/officeDocument/2006/relationships/hyperlink" Target="https://www.the-numbers.com/movie/Honey-Dont-(2025)" TargetMode="External"/><Relationship Id="rId24" Type="http://schemas.openxmlformats.org/officeDocument/2006/relationships/hyperlink" Target="https://www.the-numbers.com/market/distributor/Universal" TargetMode="External"/><Relationship Id="rId40" Type="http://schemas.openxmlformats.org/officeDocument/2006/relationships/hyperlink" Target="https://www.the-numbers.com/market/distributor/Universal" TargetMode="External"/><Relationship Id="rId45" Type="http://schemas.openxmlformats.org/officeDocument/2006/relationships/hyperlink" Target="https://www.the-numbers.com/movie/Lurker-(2025)" TargetMode="External"/><Relationship Id="rId66" Type="http://schemas.openxmlformats.org/officeDocument/2006/relationships/hyperlink" Target="https://www.the-numbers.com/market/distributor/Menemsha-Entertainment" TargetMode="External"/><Relationship Id="rId87" Type="http://schemas.openxmlformats.org/officeDocument/2006/relationships/hyperlink" Target="https://www.the-numbers.com/market/distributor/Greenwich" TargetMode="External"/><Relationship Id="rId110" Type="http://schemas.openxmlformats.org/officeDocument/2006/relationships/hyperlink" Target="https://www.the-numbers.com/movie/Eli-Roth-Presents-Jimmy-and-Stiggs-(2025)" TargetMode="External"/><Relationship Id="rId115" Type="http://schemas.openxmlformats.org/officeDocument/2006/relationships/hyperlink" Target="https://www.the-numbers.com/market/distributor/Utopia" TargetMode="External"/><Relationship Id="rId131" Type="http://schemas.openxmlformats.org/officeDocument/2006/relationships/hyperlink" Target="https://www.the-numbers.com/market/distributor/Indican-Pictures" TargetMode="External"/><Relationship Id="rId136" Type="http://schemas.openxmlformats.org/officeDocument/2006/relationships/hyperlink" Target="https://www.the-numbers.com/movie/Photographic-Memory-A-(2025)" TargetMode="External"/><Relationship Id="rId61" Type="http://schemas.openxmlformats.org/officeDocument/2006/relationships/hyperlink" Target="https://www.the-numbers.com/movie/Elio-(2025)" TargetMode="External"/><Relationship Id="rId82" Type="http://schemas.openxmlformats.org/officeDocument/2006/relationships/hyperlink" Target="https://www.the-numbers.com/movie/Cloud-(2024-Japan)" TargetMode="External"/><Relationship Id="rId19" Type="http://schemas.openxmlformats.org/officeDocument/2006/relationships/hyperlink" Target="https://www.the-numbers.com/movie/Naked-Gun-The-(2025)" TargetMode="External"/><Relationship Id="rId14" Type="http://schemas.openxmlformats.org/officeDocument/2006/relationships/hyperlink" Target="https://www.the-numbers.com/market/distributor/Universal" TargetMode="External"/><Relationship Id="rId30" Type="http://schemas.openxmlformats.org/officeDocument/2006/relationships/hyperlink" Target="https://www.the-numbers.com/market/distributor/Focus-Features" TargetMode="External"/><Relationship Id="rId35" Type="http://schemas.openxmlformats.org/officeDocument/2006/relationships/hyperlink" Target="https://www.the-numbers.com/movie/Together-(2025)" TargetMode="External"/><Relationship Id="rId56" Type="http://schemas.openxmlformats.org/officeDocument/2006/relationships/hyperlink" Target="https://www.the-numbers.com/market/distributor/Magnolia-Pictures" TargetMode="External"/><Relationship Id="rId77" Type="http://schemas.openxmlformats.org/officeDocument/2006/relationships/hyperlink" Target="https://www.the-numbers.com/movie/North-Star-(2025-United-Kingdom)" TargetMode="External"/><Relationship Id="rId100" Type="http://schemas.openxmlformats.org/officeDocument/2006/relationships/hyperlink" Target="https://www.the-numbers.com/movie/Kynodontas-(2009-Greece)" TargetMode="External"/><Relationship Id="rId105" Type="http://schemas.openxmlformats.org/officeDocument/2006/relationships/hyperlink" Target="https://www.the-numbers.com/market/distributor/Indican-Pictures" TargetMode="External"/><Relationship Id="rId126" Type="http://schemas.openxmlformats.org/officeDocument/2006/relationships/hyperlink" Target="https://www.the-numbers.com/movie/Familiar-Touch-(2025)" TargetMode="External"/><Relationship Id="rId8" Type="http://schemas.openxmlformats.org/officeDocument/2006/relationships/hyperlink" Target="https://www.the-numbers.com/market/distributor/Walt-Disney" TargetMode="External"/><Relationship Id="rId51" Type="http://schemas.openxmlformats.org/officeDocument/2006/relationships/hyperlink" Target="https://www.the-numbers.com/movie/Sharing-Aloha-(2025)" TargetMode="External"/><Relationship Id="rId72" Type="http://schemas.openxmlformats.org/officeDocument/2006/relationships/hyperlink" Target="https://www.the-numbers.com/market/distributor/Cartuna" TargetMode="External"/><Relationship Id="rId93" Type="http://schemas.openxmlformats.org/officeDocument/2006/relationships/hyperlink" Target="https://www.the-numbers.com/market/distributor/Magnolia-Pictures" TargetMode="External"/><Relationship Id="rId98" Type="http://schemas.openxmlformats.org/officeDocument/2006/relationships/hyperlink" Target="https://www.the-numbers.com/movie/histoire-de-Souleymane-L-(2024-France)" TargetMode="External"/><Relationship Id="rId121" Type="http://schemas.openxmlformats.org/officeDocument/2006/relationships/hyperlink" Target="https://www.the-numbers.com/market/distributor/Indican-Pictures" TargetMode="External"/><Relationship Id="rId3" Type="http://schemas.openxmlformats.org/officeDocument/2006/relationships/hyperlink" Target="https://www.the-numbers.com/movie/Jaws-(1975)" TargetMode="External"/><Relationship Id="rId25" Type="http://schemas.openxmlformats.org/officeDocument/2006/relationships/hyperlink" Target="https://www.the-numbers.com/movie/F1-The-Movie-(2025)" TargetMode="External"/><Relationship Id="rId46" Type="http://schemas.openxmlformats.org/officeDocument/2006/relationships/hyperlink" Target="https://www.the-numbers.com/market/distributor/MUBI" TargetMode="External"/><Relationship Id="rId67" Type="http://schemas.openxmlformats.org/officeDocument/2006/relationships/hyperlink" Target="https://www.the-numbers.com/movie/Trust-(2025)" TargetMode="External"/><Relationship Id="rId116" Type="http://schemas.openxmlformats.org/officeDocument/2006/relationships/hyperlink" Target="https://www.the-numbers.com/movie/Offret" TargetMode="External"/><Relationship Id="rId137" Type="http://schemas.openxmlformats.org/officeDocument/2006/relationships/hyperlink" Target="https://www.the-numbers.com/market/distributor/Zeitgeist" TargetMode="External"/><Relationship Id="rId20" Type="http://schemas.openxmlformats.org/officeDocument/2006/relationships/hyperlink" Target="https://www.the-numbers.com/market/distributor/Paramount-Pictures" TargetMode="External"/><Relationship Id="rId41" Type="http://schemas.openxmlformats.org/officeDocument/2006/relationships/hyperlink" Target="https://www.the-numbers.com/movie/Eden-(2025)" TargetMode="External"/><Relationship Id="rId62" Type="http://schemas.openxmlformats.org/officeDocument/2006/relationships/hyperlink" Target="https://www.the-numbers.com/market/distributor/Walt-Disney" TargetMode="External"/><Relationship Id="rId83" Type="http://schemas.openxmlformats.org/officeDocument/2006/relationships/hyperlink" Target="https://www.the-numbers.com/market/distributor/Janus-Films" TargetMode="External"/><Relationship Id="rId88" Type="http://schemas.openxmlformats.org/officeDocument/2006/relationships/hyperlink" Target="https://www.the-numbers.com/movie/Night-of-the-Juggler-(1980)" TargetMode="External"/><Relationship Id="rId111" Type="http://schemas.openxmlformats.org/officeDocument/2006/relationships/hyperlink" Target="https://www.the-numbers.com/market/distributor/Iconic-Releasing" TargetMode="External"/><Relationship Id="rId132" Type="http://schemas.openxmlformats.org/officeDocument/2006/relationships/hyperlink" Target="https://www.the-numbers.com/movie/Hung-Up-on-a-Dream-The-Zombies-Documentary-(2025)" TargetMode="External"/><Relationship Id="rId15" Type="http://schemas.openxmlformats.org/officeDocument/2006/relationships/hyperlink" Target="https://www.the-numbers.com/movie/Superman-(2025)" TargetMode="External"/><Relationship Id="rId36" Type="http://schemas.openxmlformats.org/officeDocument/2006/relationships/hyperlink" Target="https://www.the-numbers.com/market/distributor/Neon" TargetMode="External"/><Relationship Id="rId57" Type="http://schemas.openxmlformats.org/officeDocument/2006/relationships/hyperlink" Target="https://www.the-numbers.com/movie/Ran-(1985-Japan)" TargetMode="External"/><Relationship Id="rId106" Type="http://schemas.openxmlformats.org/officeDocument/2006/relationships/hyperlink" Target="https://www.the-numbers.com/movie/Hors-du-temps-(2024-France)" TargetMode="External"/><Relationship Id="rId127" Type="http://schemas.openxmlformats.org/officeDocument/2006/relationships/hyperlink" Target="https://www.the-numbers.com/market/distributor/Music-Box-Films" TargetMode="External"/><Relationship Id="rId10" Type="http://schemas.openxmlformats.org/officeDocument/2006/relationships/hyperlink" Target="https://www.the-numbers.com/market/distributor/Searchlight-Pictures" TargetMode="External"/><Relationship Id="rId31" Type="http://schemas.openxmlformats.org/officeDocument/2006/relationships/hyperlink" Target="https://www.the-numbers.com/movie/Relay-(2025)" TargetMode="External"/><Relationship Id="rId52" Type="http://schemas.openxmlformats.org/officeDocument/2006/relationships/hyperlink" Target="https://www.the-numbers.com/market/distributor/Susan-Tuckett-Media" TargetMode="External"/><Relationship Id="rId73" Type="http://schemas.openxmlformats.org/officeDocument/2006/relationships/hyperlink" Target="https://www.the-numbers.com/movie/Pools-(2025)" TargetMode="External"/><Relationship Id="rId78" Type="http://schemas.openxmlformats.org/officeDocument/2006/relationships/hyperlink" Target="https://www.the-numbers.com/market/distributor/Vertical-Entertainment" TargetMode="External"/><Relationship Id="rId94" Type="http://schemas.openxmlformats.org/officeDocument/2006/relationships/hyperlink" Target="https://www.the-numbers.com/movie/Hearts-of-Darkness-A-Filmmakers-Apocalypse" TargetMode="External"/><Relationship Id="rId99" Type="http://schemas.openxmlformats.org/officeDocument/2006/relationships/hyperlink" Target="https://www.the-numbers.com/market/distributor/Kino-Lorber" TargetMode="External"/><Relationship Id="rId101" Type="http://schemas.openxmlformats.org/officeDocument/2006/relationships/hyperlink" Target="https://www.the-numbers.com/market/distributor/Kino-Lorber" TargetMode="External"/><Relationship Id="rId122" Type="http://schemas.openxmlformats.org/officeDocument/2006/relationships/hyperlink" Target="https://www.the-numbers.com/movie/Monk-in-Pieces-(2025)" TargetMode="External"/><Relationship Id="rId4" Type="http://schemas.openxmlformats.org/officeDocument/2006/relationships/hyperlink" Target="https://www.the-numbers.com/market/distributor/Universal" TargetMode="External"/><Relationship Id="rId9" Type="http://schemas.openxmlformats.org/officeDocument/2006/relationships/hyperlink" Target="https://www.the-numbers.com/movie/Roses-The-(2025-United-Kingdom)" TargetMode="External"/><Relationship Id="rId26" Type="http://schemas.openxmlformats.org/officeDocument/2006/relationships/hyperlink" Target="https://www.the-numbers.com/market/distributor/Warner-Bros" TargetMode="External"/><Relationship Id="rId47" Type="http://schemas.openxmlformats.org/officeDocument/2006/relationships/hyperlink" Target="https://www.the-numbers.com/movie/Little-Prayer-A-(2025)" TargetMode="External"/><Relationship Id="rId68" Type="http://schemas.openxmlformats.org/officeDocument/2006/relationships/hyperlink" Target="https://www.the-numbers.com/market/distributor/Republic-Pictures" TargetMode="External"/><Relationship Id="rId89" Type="http://schemas.openxmlformats.org/officeDocument/2006/relationships/hyperlink" Target="https://www.the-numbers.com/market/distributor/Kino-Lorber" TargetMode="External"/><Relationship Id="rId112" Type="http://schemas.openxmlformats.org/officeDocument/2006/relationships/hyperlink" Target="https://www.the-numbers.com/movie/Eephus-(2025)" TargetMode="External"/><Relationship Id="rId133" Type="http://schemas.openxmlformats.org/officeDocument/2006/relationships/hyperlink" Target="https://www.the-numbers.com/market/distributor/Utopi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-numbers.com/movie/Superman-(2025)" TargetMode="External"/><Relationship Id="rId3" Type="http://schemas.openxmlformats.org/officeDocument/2006/relationships/hyperlink" Target="https://www.the-numbers.com/movie/Caught-Stealing-(2025)" TargetMode="External"/><Relationship Id="rId7" Type="http://schemas.openxmlformats.org/officeDocument/2006/relationships/hyperlink" Target="https://www.the-numbers.com/movie/Bad-Guys-2-The-(2025)" TargetMode="External"/><Relationship Id="rId2" Type="http://schemas.openxmlformats.org/officeDocument/2006/relationships/hyperlink" Target="https://www.the-numbers.com/movie/Jaws-(1975)" TargetMode="External"/><Relationship Id="rId1" Type="http://schemas.openxmlformats.org/officeDocument/2006/relationships/hyperlink" Target="https://www.the-numbers.com/movie/Weapons-(2025)" TargetMode="External"/><Relationship Id="rId6" Type="http://schemas.openxmlformats.org/officeDocument/2006/relationships/hyperlink" Target="https://www.the-numbers.com/movie/Fantastic-Four-The-First-Steps-(2025)" TargetMode="External"/><Relationship Id="rId11" Type="http://schemas.openxmlformats.org/officeDocument/2006/relationships/drawing" Target="../drawings/drawing5.xml"/><Relationship Id="rId5" Type="http://schemas.openxmlformats.org/officeDocument/2006/relationships/hyperlink" Target="https://www.the-numbers.com/movie/Roses-The-(2025-United-Kingdom)" TargetMode="External"/><Relationship Id="rId10" Type="http://schemas.openxmlformats.org/officeDocument/2006/relationships/hyperlink" Target="https://www.the-numbers.com/movie/Naked-Gun-The-(2025)" TargetMode="External"/><Relationship Id="rId4" Type="http://schemas.openxmlformats.org/officeDocument/2006/relationships/hyperlink" Target="https://www.the-numbers.com/movie/Freakier-Friday-(2025)" TargetMode="External"/><Relationship Id="rId9" Type="http://schemas.openxmlformats.org/officeDocument/2006/relationships/hyperlink" Target="https://www.the-numbers.com/movie/Nobody-2-(2025)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3E39-D563-4992-8E3D-873D8A0AD75A}">
  <dimension ref="A1:A27"/>
  <sheetViews>
    <sheetView tabSelected="1" workbookViewId="0">
      <selection activeCell="C3" sqref="C3"/>
    </sheetView>
  </sheetViews>
  <sheetFormatPr defaultRowHeight="14.4"/>
  <cols>
    <col min="1" max="1" width="141.6640625" bestFit="1" customWidth="1"/>
  </cols>
  <sheetData>
    <row r="1" spans="1:1">
      <c r="A1" s="49" t="s">
        <v>137</v>
      </c>
    </row>
    <row r="2" spans="1:1">
      <c r="A2" s="50"/>
    </row>
    <row r="3" spans="1:1">
      <c r="A3" s="51" t="s">
        <v>122</v>
      </c>
    </row>
    <row r="4" spans="1:1">
      <c r="A4" s="50" t="s">
        <v>123</v>
      </c>
    </row>
    <row r="6" spans="1:1">
      <c r="A6" s="49" t="s">
        <v>124</v>
      </c>
    </row>
    <row r="7" spans="1:1">
      <c r="A7" s="50"/>
    </row>
    <row r="8" spans="1:1">
      <c r="A8" s="50" t="s">
        <v>125</v>
      </c>
    </row>
    <row r="9" spans="1:1">
      <c r="A9" s="50" t="s">
        <v>126</v>
      </c>
    </row>
    <row r="10" spans="1:1">
      <c r="A10" s="50" t="s">
        <v>127</v>
      </c>
    </row>
    <row r="11" spans="1:1">
      <c r="A11" s="50" t="s">
        <v>128</v>
      </c>
    </row>
    <row r="13" spans="1:1">
      <c r="A13" s="49" t="s">
        <v>129</v>
      </c>
    </row>
    <row r="14" spans="1:1">
      <c r="A14" s="50"/>
    </row>
    <row r="15" spans="1:1">
      <c r="A15" s="50" t="s">
        <v>130</v>
      </c>
    </row>
    <row r="16" spans="1:1">
      <c r="A16" s="50" t="s">
        <v>131</v>
      </c>
    </row>
    <row r="17" spans="1:1">
      <c r="A17" s="50" t="s">
        <v>132</v>
      </c>
    </row>
    <row r="18" spans="1:1">
      <c r="A18" s="50" t="s">
        <v>133</v>
      </c>
    </row>
    <row r="19" spans="1:1">
      <c r="A19" s="50" t="s">
        <v>134</v>
      </c>
    </row>
    <row r="21" spans="1:1">
      <c r="A21" s="49" t="s">
        <v>135</v>
      </c>
    </row>
    <row r="23" spans="1:1">
      <c r="A23" t="s">
        <v>140</v>
      </c>
    </row>
    <row r="24" spans="1:1">
      <c r="A24" t="s">
        <v>138</v>
      </c>
    </row>
    <row r="25" spans="1:1">
      <c r="A25" t="s">
        <v>139</v>
      </c>
    </row>
    <row r="26" spans="1:1">
      <c r="A26" s="50"/>
    </row>
    <row r="27" spans="1:1">
      <c r="A27" s="51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F85E-D3AA-4EEB-9218-862701D20F1E}">
  <dimension ref="A1:K92"/>
  <sheetViews>
    <sheetView topLeftCell="A3" workbookViewId="0">
      <selection activeCell="A2" sqref="A2:I71"/>
    </sheetView>
  </sheetViews>
  <sheetFormatPr defaultColWidth="8.88671875" defaultRowHeight="14.4"/>
  <cols>
    <col min="1" max="1" width="15.88671875" customWidth="1"/>
    <col min="2" max="2" width="15.33203125" customWidth="1"/>
    <col min="3" max="3" width="36.44140625" bestFit="1" customWidth="1"/>
    <col min="4" max="4" width="15.33203125" bestFit="1" customWidth="1"/>
    <col min="5" max="5" width="12.109375" bestFit="1" customWidth="1"/>
    <col min="6" max="6" width="9.88671875" bestFit="1" customWidth="1"/>
    <col min="7" max="7" width="9" bestFit="1" customWidth="1"/>
    <col min="8" max="8" width="14.6640625" customWidth="1"/>
    <col min="9" max="9" width="17.88671875" customWidth="1"/>
    <col min="10" max="10" width="13.33203125" bestFit="1" customWidth="1"/>
    <col min="11" max="11" width="22" customWidth="1"/>
  </cols>
  <sheetData>
    <row r="1" spans="1:11" ht="108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ht="27.6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1">
      <c r="A3" s="29" t="s">
        <v>10</v>
      </c>
      <c r="B3" s="4" t="s">
        <v>11</v>
      </c>
      <c r="C3" s="5">
        <v>10471712</v>
      </c>
      <c r="D3" s="7">
        <v>-0.32</v>
      </c>
      <c r="E3" s="8">
        <v>3416</v>
      </c>
      <c r="F3" s="6">
        <v>-215</v>
      </c>
      <c r="G3" s="9">
        <v>3065</v>
      </c>
      <c r="H3" s="10">
        <v>132659399</v>
      </c>
      <c r="I3" s="3">
        <v>4</v>
      </c>
      <c r="K3" s="32"/>
    </row>
    <row r="4" spans="1:11">
      <c r="A4" s="30" t="s">
        <v>12</v>
      </c>
      <c r="B4" s="12" t="s">
        <v>13</v>
      </c>
      <c r="C4" s="13">
        <v>9641790</v>
      </c>
      <c r="D4" s="11" t="s">
        <v>14</v>
      </c>
      <c r="E4" s="14">
        <v>3200</v>
      </c>
      <c r="F4" s="11" t="s">
        <v>14</v>
      </c>
      <c r="G4" s="15">
        <v>3013</v>
      </c>
      <c r="H4" s="16">
        <v>281898790</v>
      </c>
      <c r="I4" s="14">
        <v>2620</v>
      </c>
    </row>
    <row r="5" spans="1:11">
      <c r="A5" s="29" t="s">
        <v>15</v>
      </c>
      <c r="B5" s="4" t="s">
        <v>16</v>
      </c>
      <c r="C5" s="5">
        <v>7803925</v>
      </c>
      <c r="D5" s="3" t="s">
        <v>14</v>
      </c>
      <c r="E5" s="8">
        <v>3578</v>
      </c>
      <c r="F5" s="3" t="s">
        <v>14</v>
      </c>
      <c r="G5" s="9">
        <v>2181</v>
      </c>
      <c r="H5" s="10">
        <v>7803925</v>
      </c>
      <c r="I5" s="3">
        <v>1</v>
      </c>
    </row>
    <row r="6" spans="1:11">
      <c r="A6" s="30" t="s">
        <v>17</v>
      </c>
      <c r="B6" s="12" t="s">
        <v>18</v>
      </c>
      <c r="C6" s="13">
        <v>6748051</v>
      </c>
      <c r="D6" s="18">
        <v>-0.24</v>
      </c>
      <c r="E6" s="14">
        <v>3475</v>
      </c>
      <c r="F6" s="17">
        <v>-200</v>
      </c>
      <c r="G6" s="15">
        <v>1942</v>
      </c>
      <c r="H6" s="16">
        <v>80697936</v>
      </c>
      <c r="I6" s="11">
        <v>4</v>
      </c>
    </row>
    <row r="7" spans="1:11">
      <c r="A7" s="29" t="s">
        <v>19</v>
      </c>
      <c r="B7" s="4" t="s">
        <v>20</v>
      </c>
      <c r="C7" s="5">
        <v>6265264</v>
      </c>
      <c r="D7" s="3" t="s">
        <v>14</v>
      </c>
      <c r="E7" s="8">
        <v>2700</v>
      </c>
      <c r="F7" s="3" t="s">
        <v>14</v>
      </c>
      <c r="G7" s="9">
        <v>2320</v>
      </c>
      <c r="H7" s="10">
        <v>6265264</v>
      </c>
      <c r="I7" s="3">
        <v>1</v>
      </c>
    </row>
    <row r="8" spans="1:11" ht="28.8">
      <c r="A8" s="30" t="s">
        <v>21</v>
      </c>
      <c r="B8" s="12" t="s">
        <v>18</v>
      </c>
      <c r="C8" s="13">
        <v>5009353</v>
      </c>
      <c r="D8" s="18">
        <v>-0.17</v>
      </c>
      <c r="E8" s="14">
        <v>2785</v>
      </c>
      <c r="F8" s="17">
        <v>-405</v>
      </c>
      <c r="G8" s="15">
        <v>1799</v>
      </c>
      <c r="H8" s="16">
        <v>264835533</v>
      </c>
      <c r="I8" s="11">
        <v>6</v>
      </c>
    </row>
    <row r="9" spans="1:11">
      <c r="A9" s="29" t="s">
        <v>22</v>
      </c>
      <c r="B9" s="4" t="s">
        <v>13</v>
      </c>
      <c r="C9" s="5">
        <v>4752405</v>
      </c>
      <c r="D9" s="7">
        <v>-7.0000000000000007E-2</v>
      </c>
      <c r="E9" s="8">
        <v>3024</v>
      </c>
      <c r="F9" s="6">
        <v>-264</v>
      </c>
      <c r="G9" s="9">
        <v>1572</v>
      </c>
      <c r="H9" s="10">
        <v>73062085</v>
      </c>
      <c r="I9" s="3">
        <v>5</v>
      </c>
    </row>
    <row r="10" spans="1:11">
      <c r="A10" s="30" t="s">
        <v>23</v>
      </c>
      <c r="B10" s="12" t="s">
        <v>11</v>
      </c>
      <c r="C10" s="13">
        <v>2570160</v>
      </c>
      <c r="D10" s="18">
        <v>-0.25</v>
      </c>
      <c r="E10" s="14">
        <v>1824</v>
      </c>
      <c r="F10" s="17">
        <v>-514</v>
      </c>
      <c r="G10" s="15">
        <v>1409</v>
      </c>
      <c r="H10" s="16">
        <v>351033773</v>
      </c>
      <c r="I10" s="11">
        <v>8</v>
      </c>
    </row>
    <row r="11" spans="1:11">
      <c r="A11" s="29" t="s">
        <v>24</v>
      </c>
      <c r="B11" s="4" t="s">
        <v>13</v>
      </c>
      <c r="C11" s="5">
        <v>1892405</v>
      </c>
      <c r="D11" s="7">
        <v>-0.49</v>
      </c>
      <c r="E11" s="8">
        <v>2502</v>
      </c>
      <c r="F11" s="6">
        <v>-780</v>
      </c>
      <c r="G11" s="9">
        <v>756</v>
      </c>
      <c r="H11" s="10">
        <v>20124170</v>
      </c>
      <c r="I11" s="3">
        <v>3</v>
      </c>
    </row>
    <row r="12" spans="1:11">
      <c r="A12" s="30" t="s">
        <v>25</v>
      </c>
      <c r="B12" s="12" t="s">
        <v>26</v>
      </c>
      <c r="C12" s="13">
        <v>1826859</v>
      </c>
      <c r="D12" s="18">
        <v>-0.39</v>
      </c>
      <c r="E12" s="14">
        <v>1744</v>
      </c>
      <c r="F12" s="19">
        <v>-1032</v>
      </c>
      <c r="G12" s="15">
        <v>1048</v>
      </c>
      <c r="H12" s="16">
        <v>50837026</v>
      </c>
      <c r="I12" s="11">
        <v>5</v>
      </c>
    </row>
    <row r="13" spans="1:11" ht="28.8">
      <c r="A13" s="29" t="s">
        <v>27</v>
      </c>
      <c r="B13" s="4" t="s">
        <v>28</v>
      </c>
      <c r="C13" s="5">
        <v>1734359</v>
      </c>
      <c r="D13" s="3" t="s">
        <v>14</v>
      </c>
      <c r="E13" s="8">
        <v>1995</v>
      </c>
      <c r="F13" s="3" t="s">
        <v>14</v>
      </c>
      <c r="G13" s="9">
        <v>869</v>
      </c>
      <c r="H13" s="10">
        <v>1734359</v>
      </c>
      <c r="I13" s="3">
        <v>1</v>
      </c>
    </row>
    <row r="14" spans="1:11" ht="28.8">
      <c r="A14" s="30" t="s">
        <v>29</v>
      </c>
      <c r="B14" s="12" t="s">
        <v>13</v>
      </c>
      <c r="C14" s="13">
        <v>1503440</v>
      </c>
      <c r="D14" s="18">
        <v>-0.28999999999999998</v>
      </c>
      <c r="E14" s="14">
        <v>1352</v>
      </c>
      <c r="F14" s="17">
        <v>-748</v>
      </c>
      <c r="G14" s="15">
        <v>1112</v>
      </c>
      <c r="H14" s="16">
        <v>337919055</v>
      </c>
      <c r="I14" s="11">
        <v>9</v>
      </c>
    </row>
    <row r="15" spans="1:11">
      <c r="A15" s="29" t="s">
        <v>30</v>
      </c>
      <c r="B15" s="4" t="s">
        <v>11</v>
      </c>
      <c r="C15" s="5">
        <v>1175878</v>
      </c>
      <c r="D15" s="7">
        <v>-0.33</v>
      </c>
      <c r="E15" s="3">
        <v>728</v>
      </c>
      <c r="F15" s="6">
        <v>-293</v>
      </c>
      <c r="G15" s="9">
        <v>1615</v>
      </c>
      <c r="H15" s="10">
        <v>187852423</v>
      </c>
      <c r="I15" s="3">
        <v>10</v>
      </c>
    </row>
    <row r="16" spans="1:11">
      <c r="A16" s="30" t="s">
        <v>31</v>
      </c>
      <c r="B16" s="12" t="s">
        <v>18</v>
      </c>
      <c r="C16" s="13">
        <v>1166586</v>
      </c>
      <c r="D16" s="21">
        <v>41.22</v>
      </c>
      <c r="E16" s="14">
        <v>2440</v>
      </c>
      <c r="F16" s="22">
        <v>2385</v>
      </c>
      <c r="G16" s="15">
        <v>478</v>
      </c>
      <c r="H16" s="16">
        <v>422985124</v>
      </c>
      <c r="I16" s="11">
        <v>15</v>
      </c>
    </row>
    <row r="17" spans="1:9">
      <c r="A17" s="29" t="s">
        <v>32</v>
      </c>
      <c r="B17" s="4" t="s">
        <v>33</v>
      </c>
      <c r="C17" s="5">
        <v>902040</v>
      </c>
      <c r="D17" s="7">
        <v>-0.7</v>
      </c>
      <c r="E17" s="8">
        <v>1338</v>
      </c>
      <c r="F17" s="23">
        <v>21</v>
      </c>
      <c r="G17" s="9">
        <v>674</v>
      </c>
      <c r="H17" s="10">
        <v>5098280</v>
      </c>
      <c r="I17" s="3">
        <v>2</v>
      </c>
    </row>
    <row r="18" spans="1:9">
      <c r="A18" s="30" t="s">
        <v>34</v>
      </c>
      <c r="B18" s="12" t="s">
        <v>35</v>
      </c>
      <c r="C18" s="13">
        <v>351026</v>
      </c>
      <c r="D18" s="18">
        <v>-0.82</v>
      </c>
      <c r="E18" s="14">
        <v>1218</v>
      </c>
      <c r="F18" s="17">
        <v>-265</v>
      </c>
      <c r="G18" s="15">
        <v>288</v>
      </c>
      <c r="H18" s="16">
        <v>2916577</v>
      </c>
      <c r="I18" s="11">
        <v>2</v>
      </c>
    </row>
    <row r="19" spans="1:9">
      <c r="A19" s="29" t="s">
        <v>36</v>
      </c>
      <c r="B19" s="4" t="s">
        <v>37</v>
      </c>
      <c r="C19" s="5">
        <v>261076</v>
      </c>
      <c r="D19" s="7">
        <v>-0.83</v>
      </c>
      <c r="E19" s="3">
        <v>756</v>
      </c>
      <c r="F19" s="24">
        <v>-1472</v>
      </c>
      <c r="G19" s="9">
        <v>345</v>
      </c>
      <c r="H19" s="10">
        <v>23251218</v>
      </c>
      <c r="I19" s="3">
        <v>29</v>
      </c>
    </row>
    <row r="20" spans="1:9">
      <c r="A20" s="30" t="s">
        <v>38</v>
      </c>
      <c r="B20" s="12" t="s">
        <v>39</v>
      </c>
      <c r="C20" s="13">
        <v>203652</v>
      </c>
      <c r="D20" s="18">
        <v>-0.51</v>
      </c>
      <c r="E20" s="11">
        <v>204</v>
      </c>
      <c r="F20" s="17">
        <v>-235</v>
      </c>
      <c r="G20" s="15">
        <v>998</v>
      </c>
      <c r="H20" s="16">
        <v>21125352</v>
      </c>
      <c r="I20" s="11">
        <v>5</v>
      </c>
    </row>
    <row r="21" spans="1:9">
      <c r="A21" s="29" t="s">
        <v>40</v>
      </c>
      <c r="B21" s="4" t="s">
        <v>39</v>
      </c>
      <c r="C21" s="5">
        <v>175082</v>
      </c>
      <c r="D21" s="25">
        <v>0.62</v>
      </c>
      <c r="E21" s="3">
        <v>28</v>
      </c>
      <c r="F21" s="23">
        <v>23</v>
      </c>
      <c r="G21" s="9">
        <v>6253</v>
      </c>
      <c r="H21" s="10">
        <v>325086</v>
      </c>
      <c r="I21" s="3">
        <v>2</v>
      </c>
    </row>
    <row r="22" spans="1:9" ht="28.8">
      <c r="A22" s="30" t="s">
        <v>41</v>
      </c>
      <c r="B22" s="12" t="s">
        <v>13</v>
      </c>
      <c r="C22" s="13">
        <v>161850</v>
      </c>
      <c r="D22" s="18">
        <v>-0.57999999999999996</v>
      </c>
      <c r="E22" s="11">
        <v>217</v>
      </c>
      <c r="F22" s="17">
        <v>-961</v>
      </c>
      <c r="G22" s="15">
        <v>746</v>
      </c>
      <c r="H22" s="16">
        <v>262909095</v>
      </c>
      <c r="I22" s="11">
        <v>12</v>
      </c>
    </row>
    <row r="23" spans="1:9">
      <c r="A23" s="29" t="s">
        <v>42</v>
      </c>
      <c r="B23" s="4" t="s">
        <v>43</v>
      </c>
      <c r="C23" s="5">
        <v>140675</v>
      </c>
      <c r="D23" s="7">
        <v>-0.87</v>
      </c>
      <c r="E23" s="3">
        <v>453</v>
      </c>
      <c r="F23" s="6">
        <v>-211</v>
      </c>
      <c r="G23" s="9">
        <v>311</v>
      </c>
      <c r="H23" s="10">
        <v>1475150</v>
      </c>
      <c r="I23" s="3">
        <v>2</v>
      </c>
    </row>
    <row r="24" spans="1:9">
      <c r="A24" s="30" t="s">
        <v>44</v>
      </c>
      <c r="B24" s="12" t="s">
        <v>45</v>
      </c>
      <c r="C24" s="13">
        <v>120743</v>
      </c>
      <c r="D24" s="18">
        <v>-0.65</v>
      </c>
      <c r="E24" s="11">
        <v>419</v>
      </c>
      <c r="F24" s="17">
        <v>-341</v>
      </c>
      <c r="G24" s="15">
        <v>288</v>
      </c>
      <c r="H24" s="16">
        <v>5925536</v>
      </c>
      <c r="I24" s="11">
        <v>464</v>
      </c>
    </row>
    <row r="25" spans="1:9">
      <c r="A25" s="29" t="s">
        <v>46</v>
      </c>
      <c r="B25" s="4" t="s">
        <v>47</v>
      </c>
      <c r="C25" s="5">
        <v>113129</v>
      </c>
      <c r="D25" s="25">
        <v>1.02</v>
      </c>
      <c r="E25" s="3">
        <v>19</v>
      </c>
      <c r="F25" s="23">
        <v>15</v>
      </c>
      <c r="G25" s="9">
        <v>5954</v>
      </c>
      <c r="H25" s="10">
        <v>192832</v>
      </c>
      <c r="I25" s="3">
        <v>2</v>
      </c>
    </row>
    <row r="26" spans="1:9">
      <c r="A26" s="30" t="s">
        <v>48</v>
      </c>
      <c r="B26" s="12" t="s">
        <v>49</v>
      </c>
      <c r="C26" s="13">
        <v>70727</v>
      </c>
      <c r="D26" s="11" t="s">
        <v>14</v>
      </c>
      <c r="E26" s="11">
        <v>70</v>
      </c>
      <c r="F26" s="11" t="s">
        <v>14</v>
      </c>
      <c r="G26" s="15">
        <v>1010</v>
      </c>
      <c r="H26" s="16">
        <v>70727</v>
      </c>
      <c r="I26" s="11">
        <v>1</v>
      </c>
    </row>
    <row r="27" spans="1:9">
      <c r="A27" s="29" t="s">
        <v>50</v>
      </c>
      <c r="B27" s="4" t="s">
        <v>51</v>
      </c>
      <c r="C27" s="5">
        <v>67160</v>
      </c>
      <c r="D27" s="7">
        <v>-0.73</v>
      </c>
      <c r="E27" s="3">
        <v>200</v>
      </c>
      <c r="F27" s="6">
        <v>-427</v>
      </c>
      <c r="G27" s="9">
        <v>336</v>
      </c>
      <c r="H27" s="10">
        <v>8017513</v>
      </c>
      <c r="I27" s="3">
        <v>4</v>
      </c>
    </row>
    <row r="28" spans="1:9">
      <c r="A28" s="30" t="s">
        <v>52</v>
      </c>
      <c r="B28" s="12" t="s">
        <v>53</v>
      </c>
      <c r="C28" s="13">
        <v>58337</v>
      </c>
      <c r="D28" s="11" t="s">
        <v>14</v>
      </c>
      <c r="E28" s="11">
        <v>37</v>
      </c>
      <c r="F28" s="11" t="s">
        <v>14</v>
      </c>
      <c r="G28" s="15">
        <v>1577</v>
      </c>
      <c r="H28" s="16">
        <v>58337</v>
      </c>
      <c r="I28" s="11">
        <v>1</v>
      </c>
    </row>
    <row r="29" spans="1:9">
      <c r="A29" s="29" t="s">
        <v>54</v>
      </c>
      <c r="B29" s="4" t="s">
        <v>55</v>
      </c>
      <c r="C29" s="5">
        <v>49243</v>
      </c>
      <c r="D29" s="3" t="s">
        <v>14</v>
      </c>
      <c r="E29" s="3">
        <v>1</v>
      </c>
      <c r="F29" s="3" t="s">
        <v>14</v>
      </c>
      <c r="G29" s="9">
        <v>49243</v>
      </c>
      <c r="H29" s="10">
        <v>49243</v>
      </c>
      <c r="I29" s="3">
        <v>1</v>
      </c>
    </row>
    <row r="30" spans="1:9" ht="28.8">
      <c r="A30" s="30" t="s">
        <v>56</v>
      </c>
      <c r="B30" s="12" t="s">
        <v>57</v>
      </c>
      <c r="C30" s="13">
        <v>37993</v>
      </c>
      <c r="D30" s="18">
        <v>-0.73</v>
      </c>
      <c r="E30" s="11">
        <v>64</v>
      </c>
      <c r="F30" s="17">
        <v>-70</v>
      </c>
      <c r="G30" s="15">
        <v>594</v>
      </c>
      <c r="H30" s="16">
        <v>1312787</v>
      </c>
      <c r="I30" s="11">
        <v>4</v>
      </c>
    </row>
    <row r="31" spans="1:9">
      <c r="A31" s="29" t="s">
        <v>58</v>
      </c>
      <c r="B31" s="4" t="s">
        <v>59</v>
      </c>
      <c r="C31" s="5">
        <v>33002</v>
      </c>
      <c r="D31" s="25">
        <v>9.85</v>
      </c>
      <c r="E31" s="3">
        <v>31</v>
      </c>
      <c r="F31" s="23">
        <v>30</v>
      </c>
      <c r="G31" s="9">
        <v>1065</v>
      </c>
      <c r="H31" s="10">
        <v>3115188</v>
      </c>
      <c r="I31" s="8">
        <v>2072</v>
      </c>
    </row>
    <row r="32" spans="1:9" ht="28.8">
      <c r="A32" s="30" t="s">
        <v>60</v>
      </c>
      <c r="B32" s="12" t="s">
        <v>61</v>
      </c>
      <c r="C32" s="13">
        <v>31683</v>
      </c>
      <c r="D32" s="18">
        <v>-0.36</v>
      </c>
      <c r="E32" s="11">
        <v>22</v>
      </c>
      <c r="F32" s="17">
        <v>-17</v>
      </c>
      <c r="G32" s="15">
        <v>1440</v>
      </c>
      <c r="H32" s="16">
        <v>906954</v>
      </c>
      <c r="I32" s="11">
        <v>5</v>
      </c>
    </row>
    <row r="33" spans="1:9">
      <c r="A33" s="29" t="s">
        <v>62</v>
      </c>
      <c r="B33" s="4" t="s">
        <v>18</v>
      </c>
      <c r="C33" s="5">
        <v>24280</v>
      </c>
      <c r="D33" s="25">
        <v>0.38</v>
      </c>
      <c r="E33" s="3">
        <v>35</v>
      </c>
      <c r="F33" s="6">
        <v>-10</v>
      </c>
      <c r="G33" s="9">
        <v>694</v>
      </c>
      <c r="H33" s="10">
        <v>72974146</v>
      </c>
      <c r="I33" s="3">
        <v>11</v>
      </c>
    </row>
    <row r="34" spans="1:9">
      <c r="A34" s="30" t="s">
        <v>63</v>
      </c>
      <c r="B34" s="12" t="s">
        <v>64</v>
      </c>
      <c r="C34" s="13">
        <v>19834</v>
      </c>
      <c r="D34" s="18">
        <v>-0.49</v>
      </c>
      <c r="E34" s="11">
        <v>37</v>
      </c>
      <c r="F34" s="17">
        <v>-61</v>
      </c>
      <c r="G34" s="15">
        <v>536</v>
      </c>
      <c r="H34" s="16">
        <v>613443</v>
      </c>
      <c r="I34" s="11">
        <v>3</v>
      </c>
    </row>
    <row r="35" spans="1:9">
      <c r="A35" s="29" t="s">
        <v>65</v>
      </c>
      <c r="B35" s="4" t="s">
        <v>66</v>
      </c>
      <c r="C35" s="5">
        <v>19658</v>
      </c>
      <c r="D35" s="7">
        <v>-0.41</v>
      </c>
      <c r="E35" s="3">
        <v>20</v>
      </c>
      <c r="F35" s="6">
        <v>-7</v>
      </c>
      <c r="G35" s="9">
        <v>983</v>
      </c>
      <c r="H35" s="10">
        <v>1468024</v>
      </c>
      <c r="I35" s="3">
        <v>40</v>
      </c>
    </row>
    <row r="36" spans="1:9">
      <c r="A36" s="30" t="s">
        <v>67</v>
      </c>
      <c r="B36" s="12" t="s">
        <v>68</v>
      </c>
      <c r="C36" s="13">
        <v>17901</v>
      </c>
      <c r="D36" s="18">
        <v>-0.93</v>
      </c>
      <c r="E36" s="11">
        <v>100</v>
      </c>
      <c r="F36" s="17">
        <v>-332</v>
      </c>
      <c r="G36" s="15">
        <v>179</v>
      </c>
      <c r="H36" s="16">
        <v>360653</v>
      </c>
      <c r="I36" s="11">
        <v>2</v>
      </c>
    </row>
    <row r="37" spans="1:9" ht="28.8">
      <c r="A37" s="29" t="s">
        <v>69</v>
      </c>
      <c r="B37" s="4" t="s">
        <v>64</v>
      </c>
      <c r="C37" s="5">
        <v>15696</v>
      </c>
      <c r="D37" s="25">
        <v>86.2</v>
      </c>
      <c r="E37" s="3">
        <v>6</v>
      </c>
      <c r="F37" s="23">
        <v>4</v>
      </c>
      <c r="G37" s="9">
        <v>2616</v>
      </c>
      <c r="H37" s="10">
        <v>1901675</v>
      </c>
      <c r="I37" s="3">
        <v>15</v>
      </c>
    </row>
    <row r="38" spans="1:9">
      <c r="A38" s="30" t="s">
        <v>70</v>
      </c>
      <c r="B38" s="12" t="s">
        <v>71</v>
      </c>
      <c r="C38" s="13">
        <v>15652</v>
      </c>
      <c r="D38" s="18">
        <v>-0.41</v>
      </c>
      <c r="E38" s="11">
        <v>19</v>
      </c>
      <c r="F38" s="20">
        <v>2</v>
      </c>
      <c r="G38" s="15">
        <v>824</v>
      </c>
      <c r="H38" s="16">
        <v>131956</v>
      </c>
      <c r="I38" s="11">
        <v>4</v>
      </c>
    </row>
    <row r="39" spans="1:9">
      <c r="A39" s="29" t="s">
        <v>72</v>
      </c>
      <c r="B39" s="4" t="s">
        <v>73</v>
      </c>
      <c r="C39" s="5">
        <v>13045</v>
      </c>
      <c r="D39" s="25">
        <v>0.24</v>
      </c>
      <c r="E39" s="3">
        <v>3</v>
      </c>
      <c r="F39" s="23">
        <v>2</v>
      </c>
      <c r="G39" s="9">
        <v>4348</v>
      </c>
      <c r="H39" s="10">
        <v>26434</v>
      </c>
      <c r="I39" s="3">
        <v>2</v>
      </c>
    </row>
    <row r="40" spans="1:9" ht="28.8">
      <c r="A40" s="30" t="s">
        <v>74</v>
      </c>
      <c r="B40" s="12" t="s">
        <v>64</v>
      </c>
      <c r="C40" s="13">
        <v>8737</v>
      </c>
      <c r="D40" s="21">
        <v>0.56000000000000005</v>
      </c>
      <c r="E40" s="11">
        <v>10</v>
      </c>
      <c r="F40" s="17">
        <v>-6</v>
      </c>
      <c r="G40" s="15">
        <v>874</v>
      </c>
      <c r="H40" s="16">
        <v>629054</v>
      </c>
      <c r="I40" s="11">
        <v>8</v>
      </c>
    </row>
    <row r="41" spans="1:9" ht="28.8">
      <c r="A41" s="29" t="s">
        <v>75</v>
      </c>
      <c r="B41" s="4" t="s">
        <v>43</v>
      </c>
      <c r="C41" s="5">
        <v>6395</v>
      </c>
      <c r="D41" s="7">
        <v>-0.65</v>
      </c>
      <c r="E41" s="3">
        <v>21</v>
      </c>
      <c r="F41" s="6">
        <v>-180</v>
      </c>
      <c r="G41" s="9">
        <v>305</v>
      </c>
      <c r="H41" s="10">
        <v>895473</v>
      </c>
      <c r="I41" s="3">
        <v>4</v>
      </c>
    </row>
    <row r="42" spans="1:9">
      <c r="A42" s="30" t="s">
        <v>76</v>
      </c>
      <c r="B42" s="11"/>
      <c r="C42" s="13">
        <v>6100</v>
      </c>
      <c r="D42" s="18">
        <v>-0.47</v>
      </c>
      <c r="E42" s="11">
        <v>2</v>
      </c>
      <c r="F42" s="11" t="s">
        <v>77</v>
      </c>
      <c r="G42" s="15">
        <v>3050</v>
      </c>
      <c r="H42" s="16">
        <v>20100</v>
      </c>
      <c r="I42" s="11">
        <v>45</v>
      </c>
    </row>
    <row r="43" spans="1:9">
      <c r="A43" s="29" t="s">
        <v>78</v>
      </c>
      <c r="B43" s="4" t="s">
        <v>59</v>
      </c>
      <c r="C43" s="5">
        <v>4334</v>
      </c>
      <c r="D43" s="25">
        <v>0.17</v>
      </c>
      <c r="E43" s="3">
        <v>3</v>
      </c>
      <c r="F43" s="23">
        <v>2</v>
      </c>
      <c r="G43" s="9">
        <v>1445</v>
      </c>
      <c r="H43" s="10">
        <v>2921108</v>
      </c>
      <c r="I43" s="8">
        <v>2267</v>
      </c>
    </row>
    <row r="44" spans="1:9">
      <c r="A44" s="30" t="s">
        <v>79</v>
      </c>
      <c r="B44" s="12" t="s">
        <v>80</v>
      </c>
      <c r="C44" s="13">
        <v>2746</v>
      </c>
      <c r="D44" s="18">
        <v>-0.62</v>
      </c>
      <c r="E44" s="11">
        <v>4</v>
      </c>
      <c r="F44" s="17">
        <v>-11</v>
      </c>
      <c r="G44" s="15">
        <v>687</v>
      </c>
      <c r="H44" s="16">
        <v>346748</v>
      </c>
      <c r="I44" s="11">
        <v>7</v>
      </c>
    </row>
    <row r="45" spans="1:9" ht="28.8">
      <c r="A45" s="29" t="s">
        <v>81</v>
      </c>
      <c r="B45" s="4" t="s">
        <v>82</v>
      </c>
      <c r="C45" s="5">
        <v>2650</v>
      </c>
      <c r="D45" s="25">
        <v>0.22</v>
      </c>
      <c r="E45" s="3">
        <v>6</v>
      </c>
      <c r="F45" s="3" t="s">
        <v>77</v>
      </c>
      <c r="G45" s="9">
        <v>442</v>
      </c>
      <c r="H45" s="10">
        <v>27605</v>
      </c>
      <c r="I45" s="3">
        <v>7</v>
      </c>
    </row>
    <row r="46" spans="1:9">
      <c r="A46" s="30" t="s">
        <v>83</v>
      </c>
      <c r="B46" s="12" t="s">
        <v>55</v>
      </c>
      <c r="C46" s="13">
        <v>2553</v>
      </c>
      <c r="D46" s="21">
        <v>0.05</v>
      </c>
      <c r="E46" s="11">
        <v>8</v>
      </c>
      <c r="F46" s="11" t="s">
        <v>77</v>
      </c>
      <c r="G46" s="15">
        <v>319</v>
      </c>
      <c r="H46" s="16">
        <v>134741</v>
      </c>
      <c r="I46" s="11">
        <v>6</v>
      </c>
    </row>
    <row r="47" spans="1:9" ht="28.8">
      <c r="A47" s="29" t="s">
        <v>84</v>
      </c>
      <c r="B47" s="4" t="s">
        <v>82</v>
      </c>
      <c r="C47" s="5">
        <v>2356</v>
      </c>
      <c r="D47" s="25">
        <v>0.02</v>
      </c>
      <c r="E47" s="3">
        <v>2</v>
      </c>
      <c r="F47" s="6">
        <v>-2</v>
      </c>
      <c r="G47" s="9">
        <v>1178</v>
      </c>
      <c r="H47" s="10">
        <v>31449</v>
      </c>
      <c r="I47" s="8">
        <v>2380</v>
      </c>
    </row>
    <row r="48" spans="1:9" ht="28.8">
      <c r="A48" s="30" t="s">
        <v>85</v>
      </c>
      <c r="B48" s="12" t="s">
        <v>86</v>
      </c>
      <c r="C48" s="13">
        <v>2056</v>
      </c>
      <c r="D48" s="21">
        <v>0.43</v>
      </c>
      <c r="E48" s="11">
        <v>3</v>
      </c>
      <c r="F48" s="11" t="s">
        <v>77</v>
      </c>
      <c r="G48" s="15">
        <v>685</v>
      </c>
      <c r="H48" s="16">
        <v>33327</v>
      </c>
      <c r="I48" s="11">
        <v>8</v>
      </c>
    </row>
    <row r="49" spans="1:9">
      <c r="A49" s="29" t="s">
        <v>87</v>
      </c>
      <c r="B49" s="4" t="s">
        <v>57</v>
      </c>
      <c r="C49" s="5">
        <v>1797</v>
      </c>
      <c r="D49" s="7">
        <v>-0.54</v>
      </c>
      <c r="E49" s="3">
        <v>8</v>
      </c>
      <c r="F49" s="6">
        <v>-12</v>
      </c>
      <c r="G49" s="9">
        <v>225</v>
      </c>
      <c r="H49" s="10">
        <v>115624</v>
      </c>
      <c r="I49" s="3">
        <v>6</v>
      </c>
    </row>
    <row r="50" spans="1:9" ht="57.6">
      <c r="A50" s="30" t="s">
        <v>88</v>
      </c>
      <c r="B50" s="12" t="s">
        <v>59</v>
      </c>
      <c r="C50" s="13">
        <v>1488</v>
      </c>
      <c r="D50" s="18">
        <v>-0.05</v>
      </c>
      <c r="E50" s="11">
        <v>3</v>
      </c>
      <c r="F50" s="17">
        <v>-1</v>
      </c>
      <c r="G50" s="15">
        <v>496</v>
      </c>
      <c r="H50" s="16">
        <v>1380689</v>
      </c>
      <c r="I50" s="14">
        <v>1762</v>
      </c>
    </row>
    <row r="51" spans="1:9" ht="43.2">
      <c r="A51" s="29" t="s">
        <v>89</v>
      </c>
      <c r="B51" s="4" t="s">
        <v>82</v>
      </c>
      <c r="C51" s="5">
        <v>1429</v>
      </c>
      <c r="D51" s="25">
        <v>3.11</v>
      </c>
      <c r="E51" s="3">
        <v>1</v>
      </c>
      <c r="F51" s="6">
        <v>-2</v>
      </c>
      <c r="G51" s="9">
        <v>1429</v>
      </c>
      <c r="H51" s="10">
        <v>100374</v>
      </c>
      <c r="I51" s="3">
        <v>11</v>
      </c>
    </row>
    <row r="52" spans="1:9" ht="28.8">
      <c r="A52" s="30" t="s">
        <v>90</v>
      </c>
      <c r="B52" s="12" t="s">
        <v>82</v>
      </c>
      <c r="C52" s="13">
        <v>1225</v>
      </c>
      <c r="D52" s="18">
        <v>-0.7</v>
      </c>
      <c r="E52" s="11">
        <v>2</v>
      </c>
      <c r="F52" s="17">
        <v>-7</v>
      </c>
      <c r="G52" s="15">
        <v>613</v>
      </c>
      <c r="H52" s="16">
        <v>80519</v>
      </c>
      <c r="I52" s="11">
        <v>5</v>
      </c>
    </row>
    <row r="53" spans="1:9">
      <c r="A53" s="29" t="s">
        <v>91</v>
      </c>
      <c r="B53" s="4" t="s">
        <v>82</v>
      </c>
      <c r="C53" s="5">
        <v>1143</v>
      </c>
      <c r="D53" s="7">
        <v>-0.54</v>
      </c>
      <c r="E53" s="3">
        <v>1</v>
      </c>
      <c r="F53" s="6">
        <v>-1</v>
      </c>
      <c r="G53" s="9">
        <v>1143</v>
      </c>
      <c r="H53" s="10">
        <v>206387</v>
      </c>
      <c r="I53" s="3">
        <v>793</v>
      </c>
    </row>
    <row r="54" spans="1:9">
      <c r="A54" s="30" t="s">
        <v>92</v>
      </c>
      <c r="B54" s="12" t="s">
        <v>64</v>
      </c>
      <c r="C54" s="13">
        <v>1053</v>
      </c>
      <c r="D54" s="18">
        <v>-0.87</v>
      </c>
      <c r="E54" s="11">
        <v>5</v>
      </c>
      <c r="F54" s="17">
        <v>-7</v>
      </c>
      <c r="G54" s="15">
        <v>211</v>
      </c>
      <c r="H54" s="16">
        <v>2078331</v>
      </c>
      <c r="I54" s="11">
        <v>6</v>
      </c>
    </row>
    <row r="55" spans="1:9">
      <c r="A55" s="29" t="s">
        <v>93</v>
      </c>
      <c r="B55" s="4" t="s">
        <v>94</v>
      </c>
      <c r="C55" s="5">
        <v>968</v>
      </c>
      <c r="D55" s="25">
        <v>5.68</v>
      </c>
      <c r="E55" s="3">
        <v>1</v>
      </c>
      <c r="F55" s="3" t="s">
        <v>77</v>
      </c>
      <c r="G55" s="9">
        <v>968</v>
      </c>
      <c r="H55" s="10">
        <v>9318</v>
      </c>
      <c r="I55" s="3">
        <v>5</v>
      </c>
    </row>
    <row r="56" spans="1:9">
      <c r="A56" s="30" t="s">
        <v>95</v>
      </c>
      <c r="B56" s="12" t="s">
        <v>49</v>
      </c>
      <c r="C56" s="13">
        <v>934</v>
      </c>
      <c r="D56" s="18">
        <v>-0.82</v>
      </c>
      <c r="E56" s="11">
        <v>2</v>
      </c>
      <c r="F56" s="17">
        <v>-3</v>
      </c>
      <c r="G56" s="15">
        <v>467</v>
      </c>
      <c r="H56" s="16">
        <v>15477</v>
      </c>
      <c r="I56" s="11">
        <v>3</v>
      </c>
    </row>
    <row r="57" spans="1:9" ht="28.8">
      <c r="A57" s="29" t="s">
        <v>96</v>
      </c>
      <c r="B57" s="4" t="s">
        <v>97</v>
      </c>
      <c r="C57" s="5">
        <v>931</v>
      </c>
      <c r="D57" s="7">
        <v>-0.99</v>
      </c>
      <c r="E57" s="3">
        <v>2</v>
      </c>
      <c r="F57" s="6">
        <v>-385</v>
      </c>
      <c r="G57" s="9">
        <v>466</v>
      </c>
      <c r="H57" s="10">
        <v>309757</v>
      </c>
      <c r="I57" s="3">
        <v>2</v>
      </c>
    </row>
    <row r="58" spans="1:9" ht="28.8">
      <c r="A58" s="30" t="s">
        <v>98</v>
      </c>
      <c r="B58" s="12" t="s">
        <v>97</v>
      </c>
      <c r="C58" s="13">
        <v>576</v>
      </c>
      <c r="D58" s="18">
        <v>-0.72</v>
      </c>
      <c r="E58" s="11">
        <v>1</v>
      </c>
      <c r="F58" s="17">
        <v>-9</v>
      </c>
      <c r="G58" s="15">
        <v>576</v>
      </c>
      <c r="H58" s="16">
        <v>111562</v>
      </c>
      <c r="I58" s="11">
        <v>3</v>
      </c>
    </row>
    <row r="59" spans="1:9">
      <c r="A59" s="29" t="s">
        <v>99</v>
      </c>
      <c r="B59" s="4" t="s">
        <v>49</v>
      </c>
      <c r="C59" s="5">
        <v>566</v>
      </c>
      <c r="D59" s="3" t="s">
        <v>14</v>
      </c>
      <c r="E59" s="3">
        <v>1</v>
      </c>
      <c r="F59" s="3" t="s">
        <v>14</v>
      </c>
      <c r="G59" s="9">
        <v>566</v>
      </c>
      <c r="H59" s="10">
        <v>525511</v>
      </c>
      <c r="I59" s="3">
        <v>26</v>
      </c>
    </row>
    <row r="60" spans="1:9">
      <c r="A60" s="30" t="s">
        <v>100</v>
      </c>
      <c r="B60" s="12" t="s">
        <v>86</v>
      </c>
      <c r="C60" s="13">
        <v>533</v>
      </c>
      <c r="D60" s="11" t="s">
        <v>14</v>
      </c>
      <c r="E60" s="11">
        <v>1</v>
      </c>
      <c r="F60" s="11" t="s">
        <v>14</v>
      </c>
      <c r="G60" s="15">
        <v>533</v>
      </c>
      <c r="H60" s="16">
        <v>350173</v>
      </c>
      <c r="I60" s="11">
        <v>18</v>
      </c>
    </row>
    <row r="61" spans="1:9">
      <c r="A61" s="29" t="s">
        <v>101</v>
      </c>
      <c r="B61" s="4" t="s">
        <v>102</v>
      </c>
      <c r="C61" s="5">
        <v>451</v>
      </c>
      <c r="D61" s="3" t="s">
        <v>14</v>
      </c>
      <c r="E61" s="3">
        <v>1</v>
      </c>
      <c r="F61" s="3" t="s">
        <v>14</v>
      </c>
      <c r="G61" s="9">
        <v>451</v>
      </c>
      <c r="H61" s="10">
        <v>203102</v>
      </c>
      <c r="I61" s="3">
        <v>565</v>
      </c>
    </row>
    <row r="62" spans="1:9" ht="28.8">
      <c r="A62" s="30" t="s">
        <v>103</v>
      </c>
      <c r="B62" s="12" t="s">
        <v>82</v>
      </c>
      <c r="C62" s="13">
        <v>357</v>
      </c>
      <c r="D62" s="21">
        <v>0.24</v>
      </c>
      <c r="E62" s="11">
        <v>1</v>
      </c>
      <c r="F62" s="11" t="s">
        <v>77</v>
      </c>
      <c r="G62" s="15">
        <v>357</v>
      </c>
      <c r="H62" s="16">
        <v>70840</v>
      </c>
      <c r="I62" s="14">
        <v>1244</v>
      </c>
    </row>
    <row r="63" spans="1:9">
      <c r="A63" s="29" t="s">
        <v>104</v>
      </c>
      <c r="B63" s="4" t="s">
        <v>94</v>
      </c>
      <c r="C63" s="5">
        <v>275</v>
      </c>
      <c r="D63" s="25">
        <v>0.1</v>
      </c>
      <c r="E63" s="3">
        <v>1</v>
      </c>
      <c r="F63" s="3" t="s">
        <v>77</v>
      </c>
      <c r="G63" s="9">
        <v>275</v>
      </c>
      <c r="H63" s="10">
        <v>639150</v>
      </c>
      <c r="I63" s="8">
        <v>1373</v>
      </c>
    </row>
    <row r="64" spans="1:9">
      <c r="A64" s="30" t="s">
        <v>105</v>
      </c>
      <c r="B64" s="12" t="s">
        <v>82</v>
      </c>
      <c r="C64" s="13">
        <v>272</v>
      </c>
      <c r="D64" s="18">
        <v>-0.19</v>
      </c>
      <c r="E64" s="11">
        <v>2</v>
      </c>
      <c r="F64" s="20">
        <v>1</v>
      </c>
      <c r="G64" s="15">
        <v>136</v>
      </c>
      <c r="H64" s="16">
        <v>26575</v>
      </c>
      <c r="I64" s="11">
        <v>6</v>
      </c>
    </row>
    <row r="65" spans="1:11" ht="28.8">
      <c r="A65" s="29" t="s">
        <v>106</v>
      </c>
      <c r="B65" s="4" t="s">
        <v>94</v>
      </c>
      <c r="C65" s="5">
        <v>250</v>
      </c>
      <c r="D65" s="25">
        <v>0.28000000000000003</v>
      </c>
      <c r="E65" s="3">
        <v>1</v>
      </c>
      <c r="F65" s="3" t="s">
        <v>77</v>
      </c>
      <c r="G65" s="9">
        <v>250</v>
      </c>
      <c r="H65" s="10">
        <v>45050</v>
      </c>
      <c r="I65" s="8">
        <v>1337</v>
      </c>
    </row>
    <row r="66" spans="1:11">
      <c r="A66" s="30" t="s">
        <v>107</v>
      </c>
      <c r="B66" s="12" t="s">
        <v>49</v>
      </c>
      <c r="C66" s="13">
        <v>243</v>
      </c>
      <c r="D66" s="18">
        <v>-0.49</v>
      </c>
      <c r="E66" s="11">
        <v>2</v>
      </c>
      <c r="F66" s="11" t="s">
        <v>77</v>
      </c>
      <c r="G66" s="15">
        <v>122</v>
      </c>
      <c r="H66" s="16">
        <v>151832</v>
      </c>
      <c r="I66" s="11">
        <v>11</v>
      </c>
    </row>
    <row r="67" spans="1:11">
      <c r="A67" s="29" t="s">
        <v>108</v>
      </c>
      <c r="B67" s="4" t="s">
        <v>49</v>
      </c>
      <c r="C67" s="5">
        <v>214</v>
      </c>
      <c r="D67" s="7">
        <v>-0.21</v>
      </c>
      <c r="E67" s="3">
        <v>1</v>
      </c>
      <c r="F67" s="3" t="s">
        <v>77</v>
      </c>
      <c r="G67" s="9">
        <v>214</v>
      </c>
      <c r="H67" s="10">
        <v>87986</v>
      </c>
      <c r="I67" s="3">
        <v>9</v>
      </c>
    </row>
    <row r="68" spans="1:11">
      <c r="A68" s="30" t="s">
        <v>109</v>
      </c>
      <c r="B68" s="12" t="s">
        <v>94</v>
      </c>
      <c r="C68" s="13">
        <v>202</v>
      </c>
      <c r="D68" s="21">
        <v>0.62</v>
      </c>
      <c r="E68" s="11">
        <v>1</v>
      </c>
      <c r="F68" s="11" t="s">
        <v>77</v>
      </c>
      <c r="G68" s="15">
        <v>202</v>
      </c>
      <c r="H68" s="16">
        <v>39972</v>
      </c>
      <c r="I68" s="11">
        <v>13</v>
      </c>
    </row>
    <row r="69" spans="1:11" ht="57.6">
      <c r="A69" s="29" t="s">
        <v>110</v>
      </c>
      <c r="B69" s="4" t="s">
        <v>86</v>
      </c>
      <c r="C69" s="5">
        <v>146</v>
      </c>
      <c r="D69" s="3" t="s">
        <v>14</v>
      </c>
      <c r="E69" s="3">
        <v>1</v>
      </c>
      <c r="F69" s="3" t="s">
        <v>14</v>
      </c>
      <c r="G69" s="9">
        <v>146</v>
      </c>
      <c r="H69" s="10">
        <v>108957</v>
      </c>
      <c r="I69" s="3">
        <v>16</v>
      </c>
    </row>
    <row r="70" spans="1:11" ht="43.2">
      <c r="A70" s="30" t="s">
        <v>111</v>
      </c>
      <c r="B70" s="12" t="s">
        <v>112</v>
      </c>
      <c r="C70" s="13">
        <v>67</v>
      </c>
      <c r="D70" s="11" t="s">
        <v>14</v>
      </c>
      <c r="E70" s="11">
        <v>1</v>
      </c>
      <c r="F70" s="11" t="s">
        <v>14</v>
      </c>
      <c r="G70" s="15">
        <v>67</v>
      </c>
      <c r="H70" s="16">
        <v>7282</v>
      </c>
      <c r="I70" s="11">
        <v>4</v>
      </c>
    </row>
    <row r="71" spans="1:11" ht="28.8">
      <c r="A71" s="29" t="s">
        <v>113</v>
      </c>
      <c r="B71" s="4" t="s">
        <v>114</v>
      </c>
      <c r="C71" s="5">
        <v>50</v>
      </c>
      <c r="D71" s="7">
        <v>-0.94</v>
      </c>
      <c r="E71" s="3">
        <v>1</v>
      </c>
      <c r="F71" s="6">
        <v>-1</v>
      </c>
      <c r="G71" s="9">
        <v>50</v>
      </c>
      <c r="H71" s="10">
        <v>27278</v>
      </c>
      <c r="I71" s="3">
        <v>12</v>
      </c>
    </row>
    <row r="72" spans="1:11">
      <c r="A72" t="s">
        <v>14</v>
      </c>
      <c r="B72" t="s">
        <v>14</v>
      </c>
      <c r="C72" s="28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s="26" t="s">
        <v>14</v>
      </c>
      <c r="K72" s="26" t="s">
        <v>14</v>
      </c>
    </row>
    <row r="73" spans="1:11">
      <c r="A73" s="26"/>
      <c r="B73" s="26"/>
      <c r="C73" s="31">
        <v>69</v>
      </c>
      <c r="D73" s="26"/>
      <c r="E73" s="27">
        <v>65518768</v>
      </c>
      <c r="F73" s="26"/>
    </row>
    <row r="74" spans="1:11">
      <c r="C74" s="28"/>
    </row>
    <row r="92" spans="1:1">
      <c r="A92" t="s">
        <v>143</v>
      </c>
    </row>
  </sheetData>
  <mergeCells count="1">
    <mergeCell ref="A1:J1"/>
  </mergeCells>
  <hyperlinks>
    <hyperlink ref="A3" r:id="rId1" location="tab=box-office" xr:uid="{EA051C7F-6D4B-4E1B-8EA4-1FCD1C741601}"/>
    <hyperlink ref="B3" r:id="rId2" xr:uid="{E3FAC86A-29D2-4D43-A519-0268BBDCA116}"/>
    <hyperlink ref="A4" r:id="rId3" location="tab=box-office" xr:uid="{7240B198-B8A3-4A3D-B9A1-3A0B81EE8906}"/>
    <hyperlink ref="B4" r:id="rId4" xr:uid="{FBE5730E-4123-4421-8A22-FEC965231C49}"/>
    <hyperlink ref="A5" r:id="rId5" location="tab=box-office" xr:uid="{090D037A-A9FA-4B08-98D2-5871908DFE50}"/>
    <hyperlink ref="B5" r:id="rId6" xr:uid="{02EDD946-6F0C-4E66-85A7-BBAF637FA104}"/>
    <hyperlink ref="A6" r:id="rId7" location="tab=box-office" xr:uid="{99765163-FF95-4780-A034-137002C54A4A}"/>
    <hyperlink ref="B6" r:id="rId8" xr:uid="{4E0F84FA-7756-48DB-89C2-0C91E61C4CC2}"/>
    <hyperlink ref="A7" r:id="rId9" location="tab=box-office" xr:uid="{C3D8A095-51E4-48CD-8F06-B2DAD4E2FC36}"/>
    <hyperlink ref="B7" r:id="rId10" xr:uid="{FD0B671D-EA95-4F3E-91A5-4CED87691C29}"/>
    <hyperlink ref="A8" r:id="rId11" location="tab=box-office" xr:uid="{CE222750-0793-4385-BAAB-F3101DDFE14A}"/>
    <hyperlink ref="B8" r:id="rId12" xr:uid="{0314D8D9-9582-48C8-AE86-3704375465EA}"/>
    <hyperlink ref="A9" r:id="rId13" location="tab=box-office" xr:uid="{4C978743-16D4-4766-946D-7AD629542E62}"/>
    <hyperlink ref="B9" r:id="rId14" xr:uid="{59B5EFEF-A95A-4DC9-BFE6-6A7461FA1FA7}"/>
    <hyperlink ref="A10" r:id="rId15" location="tab=box-office" xr:uid="{D60A6893-7573-4DAF-918B-23050AF7B6F8}"/>
    <hyperlink ref="B10" r:id="rId16" xr:uid="{655C8BCA-B7E4-4243-950C-270C805D7E62}"/>
    <hyperlink ref="A11" r:id="rId17" location="tab=box-office" xr:uid="{5A3AFAEF-E266-4CC0-B677-C59F6CD79CEA}"/>
    <hyperlink ref="B11" r:id="rId18" xr:uid="{2590AA6F-8205-4E06-A093-7E91796E89A0}"/>
    <hyperlink ref="A12" r:id="rId19" location="tab=box-office" xr:uid="{28280636-17F7-44DD-9CC1-63837264E0F7}"/>
    <hyperlink ref="B12" r:id="rId20" xr:uid="{357A70C3-E221-4B86-A36F-E5B19CD7C353}"/>
    <hyperlink ref="A13" r:id="rId21" location="tab=box-office" xr:uid="{F456F05C-DC27-4DE7-8B52-8C1F9BBB890B}"/>
    <hyperlink ref="B13" r:id="rId22" xr:uid="{66F912AC-1445-405F-9C91-466B26D40B41}"/>
    <hyperlink ref="A14" r:id="rId23" location="tab=box-office" xr:uid="{39B3D813-8012-431B-8CB7-00436AE71C9D}"/>
    <hyperlink ref="B14" r:id="rId24" xr:uid="{ACB90C7B-CB0D-4551-BE8D-D2D97E1E1508}"/>
    <hyperlink ref="A15" r:id="rId25" location="tab=box-office" xr:uid="{4DF48B2B-C52A-46B5-A792-CC0467E0F4CE}"/>
    <hyperlink ref="B15" r:id="rId26" xr:uid="{80D71FD1-5D75-4A77-B3AA-7087902DEFE4}"/>
    <hyperlink ref="A16" r:id="rId27" location="tab=box-office" xr:uid="{38D9B50F-DA31-4500-8998-3BE029860543}"/>
    <hyperlink ref="B16" r:id="rId28" xr:uid="{4692CBEF-9042-4654-AD89-1B937142E3BB}"/>
    <hyperlink ref="A17" r:id="rId29" location="tab=box-office" xr:uid="{FD837E97-630B-4B42-803E-9356159162AA}"/>
    <hyperlink ref="B17" r:id="rId30" xr:uid="{59DBDB4C-6563-4A7F-86B0-0A85499B59AD}"/>
    <hyperlink ref="A18" r:id="rId31" location="tab=box-office" xr:uid="{DCD25504-AF5F-4E1A-9668-796EFDDBC7EB}"/>
    <hyperlink ref="B18" r:id="rId32" xr:uid="{B348FEF8-1C48-4F4E-A248-10541DFCB1AF}"/>
    <hyperlink ref="A19" r:id="rId33" location="tab=box-office" xr:uid="{F1BF1C78-F325-4158-9DF0-ADF6B2D1A9D8}"/>
    <hyperlink ref="B19" r:id="rId34" xr:uid="{A5482CC2-6DA4-4261-B633-C93188D53640}"/>
    <hyperlink ref="A20" r:id="rId35" location="tab=box-office" xr:uid="{7210F9E1-62F1-4BE9-8AD1-12661F34025A}"/>
    <hyperlink ref="B20" r:id="rId36" xr:uid="{00063B87-AEBE-4186-B0F0-85D798F734B3}"/>
    <hyperlink ref="A21" r:id="rId37" location="tab=box-office" xr:uid="{57C24240-9C2B-4769-8F42-5BB0FFDEC1DE}"/>
    <hyperlink ref="B21" r:id="rId38" xr:uid="{510DA1F4-F8FE-43D7-B650-01645BC8575C}"/>
    <hyperlink ref="A22" r:id="rId39" location="tab=box-office" xr:uid="{7925EEA7-7F13-45EB-82FB-682FF39621B2}"/>
    <hyperlink ref="B22" r:id="rId40" xr:uid="{5D9B7B01-A325-4B2D-A91B-BF6F5070479A}"/>
    <hyperlink ref="A23" r:id="rId41" location="tab=box-office" xr:uid="{52F4DAE6-39DA-45ED-A99F-991A3F9D23ED}"/>
    <hyperlink ref="B23" r:id="rId42" xr:uid="{964AC4D8-221D-48F4-B5B8-4BF609477571}"/>
    <hyperlink ref="A24" r:id="rId43" location="tab=box-office" xr:uid="{36D51414-C7C4-4840-AF97-311F935251B9}"/>
    <hyperlink ref="B24" r:id="rId44" xr:uid="{2506A02B-88B4-4009-9A3B-A0CDC623EA51}"/>
    <hyperlink ref="A25" r:id="rId45" location="tab=box-office" xr:uid="{C9DBD702-2B23-418B-ACDC-9D117D42446B}"/>
    <hyperlink ref="B25" r:id="rId46" xr:uid="{987D28F0-2AD0-428F-BF3E-51EF45131A1C}"/>
    <hyperlink ref="A26" r:id="rId47" location="tab=box-office" xr:uid="{5A706107-6ED6-4610-8548-007DBC7C7E08}"/>
    <hyperlink ref="B26" r:id="rId48" xr:uid="{8F81C568-CB8A-4F2F-ADB5-CBA290CDFA62}"/>
    <hyperlink ref="A27" r:id="rId49" location="tab=box-office" xr:uid="{61E4CAED-B732-4418-B1DC-6D33AD07542F}"/>
    <hyperlink ref="B27" r:id="rId50" xr:uid="{E1CEA5BF-D3C8-4D17-861E-0839BAB3DD30}"/>
    <hyperlink ref="A28" r:id="rId51" location="tab=box-office" xr:uid="{F7FF4C4A-51B5-4A7D-B6F1-F473C3B22118}"/>
    <hyperlink ref="B28" r:id="rId52" xr:uid="{442A30B8-850F-4161-8DA4-34DCA62B608C}"/>
    <hyperlink ref="A29" r:id="rId53" location="tab=box-office" xr:uid="{9DA1FA72-0317-4E93-985C-565F0E7505F5}"/>
    <hyperlink ref="B29" r:id="rId54" xr:uid="{DF7AED96-2F40-4574-825F-703CE91ADC3B}"/>
    <hyperlink ref="A30" r:id="rId55" location="tab=box-office" xr:uid="{D662255F-487B-405C-95B7-1ECDA9E97544}"/>
    <hyperlink ref="B30" r:id="rId56" xr:uid="{64C35E8B-D7E7-4E11-943B-B019C9209A6F}"/>
    <hyperlink ref="A31" r:id="rId57" location="tab=box-office" xr:uid="{62ABB575-DC71-4CB2-87DA-D94FC629471D}"/>
    <hyperlink ref="B31" r:id="rId58" xr:uid="{E637F42A-F736-4210-818D-E01F3C1176F3}"/>
    <hyperlink ref="A32" r:id="rId59" location="tab=box-office" xr:uid="{F1BF0343-3E40-45AF-8E13-9C2977DDA21F}"/>
    <hyperlink ref="B32" r:id="rId60" xr:uid="{B1A70AE2-8C52-4F4C-89B9-EF97F1E5A97A}"/>
    <hyperlink ref="A33" r:id="rId61" location="tab=box-office" xr:uid="{511C4765-2F02-48D0-934C-E4E7D6A315AD}"/>
    <hyperlink ref="B33" r:id="rId62" xr:uid="{B139A346-878C-4318-AB33-6B2BF6B9D5BC}"/>
    <hyperlink ref="A34" r:id="rId63" location="tab=box-office" xr:uid="{3191112A-2F9E-447C-AE86-79A3EC62FFD4}"/>
    <hyperlink ref="B34" r:id="rId64" xr:uid="{47843661-CAE9-4461-8147-95FC10BA8F03}"/>
    <hyperlink ref="A35" r:id="rId65" location="tab=box-office" xr:uid="{637B86BE-80A6-484F-9283-CCD078E9E614}"/>
    <hyperlink ref="B35" r:id="rId66" xr:uid="{012B1AE0-E22F-40BC-8159-9C6244783D0F}"/>
    <hyperlink ref="A36" r:id="rId67" location="tab=box-office" xr:uid="{B7A743F2-8AFD-4BD9-97CF-597FEF27E3A3}"/>
    <hyperlink ref="B36" r:id="rId68" xr:uid="{618F7475-8C4E-4C97-ACCE-6F4365A4E2E4}"/>
    <hyperlink ref="A37" r:id="rId69" location="tab=box-office" xr:uid="{CF91F0E9-F8A2-4611-A468-3F0DAEBC8C8D}"/>
    <hyperlink ref="B37" r:id="rId70" xr:uid="{387A5FEF-DA52-4F94-BBF1-E84BE955D0A5}"/>
    <hyperlink ref="A38" r:id="rId71" location="tab=box-office" xr:uid="{5B8D7C03-21FF-4F03-854C-77A96AACD9E7}"/>
    <hyperlink ref="B38" r:id="rId72" xr:uid="{CF5077BD-133D-40BE-9B4F-BD09F509C340}"/>
    <hyperlink ref="A39" r:id="rId73" location="tab=box-office" xr:uid="{1E0C5FB6-B1CB-484E-9177-2619DB602E68}"/>
    <hyperlink ref="B39" r:id="rId74" xr:uid="{C5C7DC5A-EA15-4E7E-86C0-906CBD0BBC11}"/>
    <hyperlink ref="A40" r:id="rId75" location="tab=box-office" xr:uid="{67D848B3-ED68-4CA6-A293-B43C29EE6D7D}"/>
    <hyperlink ref="B40" r:id="rId76" xr:uid="{1C798B27-6517-4A83-A43F-F33AAF6656D4}"/>
    <hyperlink ref="A41" r:id="rId77" location="tab=box-office" xr:uid="{FC8F6EFE-D928-4267-AE92-3372BDFEDF73}"/>
    <hyperlink ref="B41" r:id="rId78" xr:uid="{667E1368-2351-4E72-AFF6-A763EE52D9CE}"/>
    <hyperlink ref="A42" r:id="rId79" location="tab=box-office" xr:uid="{1A6A7D49-86C5-4926-9435-286FD57C2A3F}"/>
    <hyperlink ref="A43" r:id="rId80" location="tab=box-office" xr:uid="{0EA31BBD-2968-4CCA-AB9A-38143FB8EE84}"/>
    <hyperlink ref="B43" r:id="rId81" xr:uid="{A56EDB66-4A50-4D6D-A2D2-774BE1F74F40}"/>
    <hyperlink ref="A44" r:id="rId82" location="tab=box-office" xr:uid="{8EC272A7-BC28-47EF-913C-9BDB144EB982}"/>
    <hyperlink ref="B44" r:id="rId83" xr:uid="{C50EE6C5-0320-47C0-B909-6B096F6D905F}"/>
    <hyperlink ref="A45" r:id="rId84" location="tab=box-office" xr:uid="{24F2BD49-73F7-485B-87FD-BA123072A10F}"/>
    <hyperlink ref="B45" r:id="rId85" xr:uid="{A8611AC5-3E1F-47BC-AB27-EF057F6BB339}"/>
    <hyperlink ref="A46" r:id="rId86" location="tab=box-office" xr:uid="{963709DB-C6E8-4097-83C8-D710BD7DC83C}"/>
    <hyperlink ref="B46" r:id="rId87" xr:uid="{AA498E0B-0490-467D-A320-4718E3C3339D}"/>
    <hyperlink ref="A47" r:id="rId88" location="tab=box-office" xr:uid="{0C100A00-8BCB-4784-9D9B-BE6967E8AFAC}"/>
    <hyperlink ref="B47" r:id="rId89" xr:uid="{36814C3D-4FE0-4435-819C-643EE67686D6}"/>
    <hyperlink ref="A48" r:id="rId90" location="tab=box-office" xr:uid="{69B737D1-ED0B-48C9-BC74-5CD901295198}"/>
    <hyperlink ref="B48" r:id="rId91" xr:uid="{833DEA26-B5BE-43DC-BFC6-FDB196790A6C}"/>
    <hyperlink ref="A49" r:id="rId92" location="tab=box-office" xr:uid="{A9285BD8-B037-46F1-8778-C153209DD78C}"/>
    <hyperlink ref="B49" r:id="rId93" xr:uid="{0F2CD45F-976C-40FB-884A-88E4CA3E3F32}"/>
    <hyperlink ref="A50" r:id="rId94" location="tab=box-office" xr:uid="{74AFA996-4DE7-466F-AD32-59B22FB5A0C7}"/>
    <hyperlink ref="B50" r:id="rId95" xr:uid="{239DB5C6-7F52-49A2-A9D5-7AE9DC2B44AF}"/>
    <hyperlink ref="A51" r:id="rId96" location="tab=box-office" xr:uid="{3E990C25-A8A3-4304-B2EC-297E6192A978}"/>
    <hyperlink ref="B51" r:id="rId97" xr:uid="{71C39AB1-7FDC-4236-B71F-819DA5911E4D}"/>
    <hyperlink ref="A52" r:id="rId98" location="tab=box-office" xr:uid="{FF2DD075-1DD4-41F5-8C62-700C8777116C}"/>
    <hyperlink ref="B52" r:id="rId99" xr:uid="{0EC75230-2419-4DE2-9099-704D858F3161}"/>
    <hyperlink ref="A53" r:id="rId100" location="tab=box-office" xr:uid="{AB49DAEC-BB57-47EB-821E-B528BA349B91}"/>
    <hyperlink ref="B53" r:id="rId101" xr:uid="{2CF9C97A-49D3-4BBD-99D5-122BCD342D40}"/>
    <hyperlink ref="A54" r:id="rId102" location="tab=box-office" xr:uid="{29B41056-72AA-4946-8663-013E3F882B58}"/>
    <hyperlink ref="B54" r:id="rId103" xr:uid="{86422EFC-686F-453D-AA1F-A660AB93B337}"/>
    <hyperlink ref="A55" r:id="rId104" location="tab=box-office" xr:uid="{BEDF83CB-E298-4B7C-B498-5139B1FD255A}"/>
    <hyperlink ref="B55" r:id="rId105" xr:uid="{CC348AA1-5763-4086-B536-EF93B20F1DF1}"/>
    <hyperlink ref="A56" r:id="rId106" location="tab=box-office" xr:uid="{A891FEB0-DD83-4E09-A2C3-E69D2265C507}"/>
    <hyperlink ref="B56" r:id="rId107" xr:uid="{7CC8F293-5F52-4F84-948F-29BDE64F50D1}"/>
    <hyperlink ref="A57" r:id="rId108" location="tab=box-office" xr:uid="{D9B7E2CA-ED04-4531-9A6D-A77131FFB2D7}"/>
    <hyperlink ref="B57" r:id="rId109" xr:uid="{6FEA9C9C-94B4-4C45-B589-C39DA8B8CA3D}"/>
    <hyperlink ref="A58" r:id="rId110" location="tab=box-office" xr:uid="{BC816AA1-4359-440B-8ED1-2C340AD77E10}"/>
    <hyperlink ref="B58" r:id="rId111" xr:uid="{C7E8345F-8AF5-4B6D-84DF-D0DDC21BD086}"/>
    <hyperlink ref="A59" r:id="rId112" location="tab=box-office" xr:uid="{25EF46D9-2765-4197-A667-0AFB68B3CDBA}"/>
    <hyperlink ref="B59" r:id="rId113" xr:uid="{9E71E36A-42EB-4942-A87E-3CF1AB8502D9}"/>
    <hyperlink ref="A60" r:id="rId114" location="tab=box-office" xr:uid="{96E83AA7-CFA7-49D5-BFFD-6F30545F8622}"/>
    <hyperlink ref="B60" r:id="rId115" xr:uid="{6D6DF999-5C91-4D3B-8412-9ABCFBA09CE0}"/>
    <hyperlink ref="A61" r:id="rId116" location="tab=box-office" xr:uid="{5F93BEAD-7CEE-4C67-9FB3-27EB8D89C388}"/>
    <hyperlink ref="B61" r:id="rId117" xr:uid="{F781F47B-1028-4BD4-B43F-73FFA5A15B50}"/>
    <hyperlink ref="A62" r:id="rId118" location="tab=box-office" xr:uid="{FCBA0814-849A-4C36-835C-0868DB4E8598}"/>
    <hyperlink ref="B62" r:id="rId119" xr:uid="{93755F47-61F4-471B-8FBD-57B92CA9B4AD}"/>
    <hyperlink ref="A63" r:id="rId120" location="tab=box-office" xr:uid="{2EA42D9E-DC35-4ED5-8712-7BF730BB16DF}"/>
    <hyperlink ref="B63" r:id="rId121" xr:uid="{7A4154FE-ADD1-4895-A270-3CBEB20043D4}"/>
    <hyperlink ref="A64" r:id="rId122" location="tab=box-office" xr:uid="{E1E2FCCF-6350-46BE-ABC9-4A14BD81B240}"/>
    <hyperlink ref="B64" r:id="rId123" xr:uid="{35F820CA-0090-4A4C-87BD-FB80849EDC13}"/>
    <hyperlink ref="A65" r:id="rId124" location="tab=box-office" xr:uid="{7FB883E9-E979-471A-91A3-66EF89A5E442}"/>
    <hyperlink ref="B65" r:id="rId125" xr:uid="{220EF28E-144F-47C9-B2BA-09CE84943849}"/>
    <hyperlink ref="A66" r:id="rId126" location="tab=box-office" xr:uid="{1FBBD08B-58FC-4271-89DC-458301E221FD}"/>
    <hyperlink ref="B66" r:id="rId127" xr:uid="{F4B9A647-973E-4836-8565-D10C7AE0A223}"/>
    <hyperlink ref="A67" r:id="rId128" location="tab=box-office" xr:uid="{EBE77012-FB10-4767-84BB-E4AF68333A2F}"/>
    <hyperlink ref="B67" r:id="rId129" xr:uid="{5E7888CA-4F51-4243-8A75-F9CC75C50578}"/>
    <hyperlink ref="A68" r:id="rId130" location="tab=box-office" xr:uid="{2CD72035-4F19-4903-A9AF-340F1D6B0AD7}"/>
    <hyperlink ref="B68" r:id="rId131" xr:uid="{F4C4C012-09CD-4EAA-A6D8-FC2A7E971852}"/>
    <hyperlink ref="A69" r:id="rId132" location="tab=box-office" xr:uid="{60A2BB88-1CEA-4055-BD8F-FE5B670B0B6D}"/>
    <hyperlink ref="B69" r:id="rId133" xr:uid="{FA0AB9DF-69CA-4D19-977C-FF2AA4F80425}"/>
    <hyperlink ref="A70" r:id="rId134" location="tab=box-office" xr:uid="{6FB89DEA-7D9D-42D3-95DF-6F170726E726}"/>
    <hyperlink ref="B70" r:id="rId135" xr:uid="{637FF3DE-9937-42F8-BD21-81E5CFF73C62}"/>
    <hyperlink ref="A71" r:id="rId136" location="tab=box-office" xr:uid="{6C48A53B-4891-45D4-84E1-FDA936CFBE84}"/>
    <hyperlink ref="B71" r:id="rId137" xr:uid="{8F7CAB1E-20E8-4E79-98C2-B7A5990EF96C}"/>
  </hyperlinks>
  <pageMargins left="0.7" right="0.7" top="0.75" bottom="0.75" header="0.3" footer="0.3"/>
  <drawing r:id="rId138"/>
  <tableParts count="1">
    <tablePart r:id="rId1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DFC5-0697-4338-9552-B6BDCFD83B1D}">
  <dimension ref="A3:B14"/>
  <sheetViews>
    <sheetView topLeftCell="H1" workbookViewId="0">
      <selection activeCell="B33" sqref="B33"/>
    </sheetView>
  </sheetViews>
  <sheetFormatPr defaultRowHeight="14.4"/>
  <cols>
    <col min="1" max="1" width="25.21875" bestFit="1" customWidth="1"/>
    <col min="2" max="2" width="16.77734375" bestFit="1" customWidth="1"/>
  </cols>
  <sheetData>
    <row r="3" spans="1:2">
      <c r="A3" s="33" t="s">
        <v>115</v>
      </c>
      <c r="B3" t="s">
        <v>142</v>
      </c>
    </row>
    <row r="4" spans="1:2">
      <c r="A4" s="34" t="s">
        <v>22</v>
      </c>
      <c r="B4" s="32">
        <v>73062085</v>
      </c>
    </row>
    <row r="5" spans="1:2">
      <c r="A5" s="34" t="s">
        <v>17</v>
      </c>
      <c r="B5" s="32">
        <v>80697936</v>
      </c>
    </row>
    <row r="6" spans="1:2">
      <c r="A6" s="34" t="s">
        <v>10</v>
      </c>
      <c r="B6" s="32">
        <v>132659399</v>
      </c>
    </row>
    <row r="7" spans="1:2">
      <c r="A7" s="34" t="s">
        <v>30</v>
      </c>
      <c r="B7" s="32">
        <v>187852423</v>
      </c>
    </row>
    <row r="8" spans="1:2">
      <c r="A8" s="34" t="s">
        <v>41</v>
      </c>
      <c r="B8" s="32">
        <v>262909095</v>
      </c>
    </row>
    <row r="9" spans="1:2">
      <c r="A9" s="34" t="s">
        <v>21</v>
      </c>
      <c r="B9" s="32">
        <v>264835533</v>
      </c>
    </row>
    <row r="10" spans="1:2">
      <c r="A10" s="34" t="s">
        <v>12</v>
      </c>
      <c r="B10" s="32">
        <v>281898790</v>
      </c>
    </row>
    <row r="11" spans="1:2">
      <c r="A11" s="34" t="s">
        <v>29</v>
      </c>
      <c r="B11" s="32">
        <v>337919055</v>
      </c>
    </row>
    <row r="12" spans="1:2">
      <c r="A12" s="34" t="s">
        <v>23</v>
      </c>
      <c r="B12" s="32">
        <v>351033773</v>
      </c>
    </row>
    <row r="13" spans="1:2">
      <c r="A13" s="34" t="s">
        <v>31</v>
      </c>
      <c r="B13" s="32">
        <v>422985124</v>
      </c>
    </row>
    <row r="14" spans="1:2">
      <c r="A14" s="34" t="s">
        <v>117</v>
      </c>
      <c r="B14" s="32">
        <v>2395853213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2EF9-448A-462A-BAF5-0573D87E87C5}">
  <dimension ref="A2:B13"/>
  <sheetViews>
    <sheetView workbookViewId="0">
      <selection activeCell="B4" sqref="B4"/>
    </sheetView>
  </sheetViews>
  <sheetFormatPr defaultRowHeight="14.4"/>
  <cols>
    <col min="1" max="1" width="13.44140625" bestFit="1" customWidth="1"/>
    <col min="2" max="2" width="14.44140625" bestFit="1" customWidth="1"/>
    <col min="3" max="3" width="16.6640625" bestFit="1" customWidth="1"/>
  </cols>
  <sheetData>
    <row r="2" spans="1:2">
      <c r="A2" s="33" t="s">
        <v>2</v>
      </c>
      <c r="B2" t="s">
        <v>120</v>
      </c>
    </row>
    <row r="3" spans="1:2">
      <c r="A3" t="s">
        <v>13</v>
      </c>
      <c r="B3" s="32">
        <v>975913195</v>
      </c>
    </row>
    <row r="4" spans="1:2">
      <c r="A4" t="s">
        <v>18</v>
      </c>
      <c r="B4" s="32">
        <v>841492739</v>
      </c>
    </row>
    <row r="5" spans="1:2">
      <c r="A5" t="s">
        <v>11</v>
      </c>
      <c r="B5" s="32">
        <v>671545595</v>
      </c>
    </row>
    <row r="6" spans="1:2">
      <c r="A6" t="s">
        <v>26</v>
      </c>
      <c r="B6" s="32">
        <v>50837026</v>
      </c>
    </row>
    <row r="7" spans="1:2">
      <c r="A7" t="s">
        <v>37</v>
      </c>
      <c r="B7" s="32">
        <v>23251218</v>
      </c>
    </row>
    <row r="8" spans="1:2">
      <c r="A8" t="s">
        <v>39</v>
      </c>
      <c r="B8" s="32">
        <v>21450438</v>
      </c>
    </row>
    <row r="9" spans="1:2">
      <c r="A9" t="s">
        <v>51</v>
      </c>
      <c r="B9" s="32">
        <v>8017513</v>
      </c>
    </row>
    <row r="10" spans="1:2">
      <c r="A10" t="s">
        <v>16</v>
      </c>
      <c r="B10" s="32">
        <v>7803925</v>
      </c>
    </row>
    <row r="11" spans="1:2">
      <c r="A11" t="s">
        <v>59</v>
      </c>
      <c r="B11" s="32">
        <v>7416985</v>
      </c>
    </row>
    <row r="12" spans="1:2">
      <c r="A12" t="s">
        <v>20</v>
      </c>
      <c r="B12" s="32">
        <v>6265264</v>
      </c>
    </row>
    <row r="13" spans="1:2">
      <c r="A13" t="s">
        <v>117</v>
      </c>
      <c r="B13" s="32">
        <v>2613993898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AEAD-9237-FF40-BEBA-1CD2A8883224}">
  <dimension ref="A3:D38"/>
  <sheetViews>
    <sheetView workbookViewId="0">
      <selection activeCell="E26" sqref="E26"/>
    </sheetView>
  </sheetViews>
  <sheetFormatPr defaultColWidth="11.44140625" defaultRowHeight="14.4"/>
  <cols>
    <col min="1" max="1" width="13.44140625" bestFit="1" customWidth="1"/>
    <col min="2" max="2" width="14.6640625" bestFit="1" customWidth="1"/>
  </cols>
  <sheetData>
    <row r="3" spans="1:2">
      <c r="A3" s="33" t="s">
        <v>115</v>
      </c>
      <c r="B3" t="s">
        <v>116</v>
      </c>
    </row>
    <row r="4" spans="1:2">
      <c r="A4" s="34" t="s">
        <v>13</v>
      </c>
      <c r="B4" s="35">
        <v>17951890</v>
      </c>
    </row>
    <row r="5" spans="1:2">
      <c r="A5" s="34" t="s">
        <v>11</v>
      </c>
      <c r="B5" s="35">
        <v>14217750</v>
      </c>
    </row>
    <row r="6" spans="1:2">
      <c r="A6" s="34" t="s">
        <v>18</v>
      </c>
      <c r="B6" s="35">
        <v>12948270</v>
      </c>
    </row>
    <row r="7" spans="1:2">
      <c r="A7" s="34" t="s">
        <v>16</v>
      </c>
      <c r="B7" s="35">
        <v>7803925</v>
      </c>
    </row>
    <row r="8" spans="1:2">
      <c r="A8" s="34" t="s">
        <v>20</v>
      </c>
      <c r="B8" s="35">
        <v>6265264</v>
      </c>
    </row>
    <row r="9" spans="1:2">
      <c r="A9" s="34" t="s">
        <v>26</v>
      </c>
      <c r="B9" s="35">
        <v>1826859</v>
      </c>
    </row>
    <row r="10" spans="1:2">
      <c r="A10" s="34" t="s">
        <v>28</v>
      </c>
      <c r="B10" s="35">
        <v>1734359</v>
      </c>
    </row>
    <row r="11" spans="1:2">
      <c r="A11" s="34" t="s">
        <v>33</v>
      </c>
      <c r="B11" s="35">
        <v>902040</v>
      </c>
    </row>
    <row r="12" spans="1:2">
      <c r="A12" s="34" t="s">
        <v>39</v>
      </c>
      <c r="B12" s="35">
        <v>378734</v>
      </c>
    </row>
    <row r="13" spans="1:2">
      <c r="A13" s="34" t="s">
        <v>35</v>
      </c>
      <c r="B13" s="35">
        <v>351026</v>
      </c>
    </row>
    <row r="14" spans="1:2">
      <c r="A14" s="34" t="s">
        <v>37</v>
      </c>
      <c r="B14" s="35">
        <v>261076</v>
      </c>
    </row>
    <row r="15" spans="1:2">
      <c r="A15" s="34" t="s">
        <v>43</v>
      </c>
      <c r="B15" s="35">
        <v>147070</v>
      </c>
    </row>
    <row r="16" spans="1:2">
      <c r="A16" s="34" t="s">
        <v>45</v>
      </c>
      <c r="B16" s="35">
        <v>120743</v>
      </c>
    </row>
    <row r="17" spans="1:4">
      <c r="A17" s="34" t="s">
        <v>47</v>
      </c>
      <c r="B17" s="35">
        <v>113129</v>
      </c>
    </row>
    <row r="18" spans="1:4">
      <c r="A18" s="34" t="s">
        <v>49</v>
      </c>
      <c r="B18" s="35">
        <v>72684</v>
      </c>
    </row>
    <row r="19" spans="1:4">
      <c r="A19" s="34" t="s">
        <v>51</v>
      </c>
      <c r="B19" s="35">
        <v>67160</v>
      </c>
    </row>
    <row r="20" spans="1:4">
      <c r="A20" s="34" t="s">
        <v>53</v>
      </c>
      <c r="B20" s="35">
        <v>58337</v>
      </c>
    </row>
    <row r="21" spans="1:4">
      <c r="A21" s="34" t="s">
        <v>55</v>
      </c>
      <c r="B21" s="35">
        <v>51796</v>
      </c>
      <c r="D21" t="s">
        <v>141</v>
      </c>
    </row>
    <row r="22" spans="1:4">
      <c r="A22" s="34" t="s">
        <v>64</v>
      </c>
      <c r="B22" s="35">
        <v>45320</v>
      </c>
    </row>
    <row r="23" spans="1:4">
      <c r="A23" s="34" t="s">
        <v>57</v>
      </c>
      <c r="B23" s="35">
        <v>39790</v>
      </c>
    </row>
    <row r="24" spans="1:4">
      <c r="A24" s="34" t="s">
        <v>59</v>
      </c>
      <c r="B24" s="35">
        <v>38824</v>
      </c>
    </row>
    <row r="25" spans="1:4">
      <c r="A25" s="34" t="s">
        <v>61</v>
      </c>
      <c r="B25" s="35">
        <v>31683</v>
      </c>
    </row>
    <row r="26" spans="1:4">
      <c r="A26" s="34" t="s">
        <v>66</v>
      </c>
      <c r="B26" s="35">
        <v>19658</v>
      </c>
    </row>
    <row r="27" spans="1:4">
      <c r="A27" s="34" t="s">
        <v>68</v>
      </c>
      <c r="B27" s="35">
        <v>17901</v>
      </c>
    </row>
    <row r="28" spans="1:4">
      <c r="A28" s="34" t="s">
        <v>71</v>
      </c>
      <c r="B28" s="35">
        <v>15652</v>
      </c>
    </row>
    <row r="29" spans="1:4">
      <c r="A29" s="34" t="s">
        <v>73</v>
      </c>
      <c r="B29" s="35">
        <v>13045</v>
      </c>
    </row>
    <row r="30" spans="1:4">
      <c r="A30" s="34" t="s">
        <v>82</v>
      </c>
      <c r="B30" s="35">
        <v>9432</v>
      </c>
    </row>
    <row r="31" spans="1:4">
      <c r="A31" s="34" t="s">
        <v>80</v>
      </c>
      <c r="B31" s="35">
        <v>2746</v>
      </c>
    </row>
    <row r="32" spans="1:4">
      <c r="A32" s="34" t="s">
        <v>86</v>
      </c>
      <c r="B32" s="35">
        <v>2735</v>
      </c>
    </row>
    <row r="33" spans="1:2">
      <c r="A33" s="34" t="s">
        <v>94</v>
      </c>
      <c r="B33" s="35">
        <v>1695</v>
      </c>
    </row>
    <row r="34" spans="1:2">
      <c r="A34" s="34" t="s">
        <v>97</v>
      </c>
      <c r="B34" s="35">
        <v>1507</v>
      </c>
    </row>
    <row r="35" spans="1:2">
      <c r="A35" s="34" t="s">
        <v>102</v>
      </c>
      <c r="B35" s="35">
        <v>451</v>
      </c>
    </row>
    <row r="36" spans="1:2">
      <c r="A36" s="34" t="s">
        <v>112</v>
      </c>
      <c r="B36" s="35">
        <v>67</v>
      </c>
    </row>
    <row r="37" spans="1:2">
      <c r="A37" s="34" t="s">
        <v>114</v>
      </c>
      <c r="B37" s="35">
        <v>50</v>
      </c>
    </row>
    <row r="38" spans="1:2">
      <c r="A38" s="34" t="s">
        <v>117</v>
      </c>
      <c r="B38" s="35">
        <v>65512668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71B3-C356-4FB0-BA2A-55562F545C45}">
  <dimension ref="A2:C74"/>
  <sheetViews>
    <sheetView workbookViewId="0">
      <selection activeCell="B2" sqref="B2"/>
    </sheetView>
  </sheetViews>
  <sheetFormatPr defaultColWidth="8.88671875" defaultRowHeight="14.4"/>
  <cols>
    <col min="1" max="1" width="15.88671875" customWidth="1"/>
    <col min="2" max="2" width="12.109375" bestFit="1" customWidth="1"/>
    <col min="3" max="3" width="36.44140625" style="36" bestFit="1" customWidth="1"/>
  </cols>
  <sheetData>
    <row r="2" spans="1:3" ht="27.6">
      <c r="A2" s="42" t="s">
        <v>1</v>
      </c>
      <c r="B2" s="45" t="s">
        <v>7</v>
      </c>
      <c r="C2" s="37"/>
    </row>
    <row r="3" spans="1:3">
      <c r="A3" s="43" t="s">
        <v>10</v>
      </c>
      <c r="B3" s="46">
        <v>3065</v>
      </c>
      <c r="C3" s="38"/>
    </row>
    <row r="4" spans="1:3">
      <c r="A4" s="44" t="s">
        <v>12</v>
      </c>
      <c r="B4" s="47">
        <v>3013</v>
      </c>
      <c r="C4" s="39"/>
    </row>
    <row r="5" spans="1:3">
      <c r="A5" s="43" t="s">
        <v>15</v>
      </c>
      <c r="B5" s="46">
        <v>2181</v>
      </c>
      <c r="C5" s="38"/>
    </row>
    <row r="6" spans="1:3">
      <c r="A6" s="44" t="s">
        <v>17</v>
      </c>
      <c r="B6" s="47">
        <v>1942</v>
      </c>
      <c r="C6" s="39"/>
    </row>
    <row r="7" spans="1:3">
      <c r="A7" s="43" t="s">
        <v>19</v>
      </c>
      <c r="B7" s="46">
        <v>2320</v>
      </c>
      <c r="C7" s="38"/>
    </row>
    <row r="8" spans="1:3" ht="28.8">
      <c r="A8" s="44" t="s">
        <v>21</v>
      </c>
      <c r="B8" s="47">
        <v>1799</v>
      </c>
      <c r="C8" s="39"/>
    </row>
    <row r="9" spans="1:3">
      <c r="A9" s="43" t="s">
        <v>22</v>
      </c>
      <c r="B9" s="46">
        <v>1572</v>
      </c>
      <c r="C9" s="38"/>
    </row>
    <row r="10" spans="1:3">
      <c r="A10" s="44" t="s">
        <v>23</v>
      </c>
      <c r="B10" s="47">
        <v>1409</v>
      </c>
      <c r="C10" s="39"/>
    </row>
    <row r="11" spans="1:3">
      <c r="A11" s="43" t="s">
        <v>24</v>
      </c>
      <c r="B11" s="46">
        <v>756</v>
      </c>
      <c r="C11" s="38"/>
    </row>
    <row r="12" spans="1:3">
      <c r="A12" s="44" t="s">
        <v>25</v>
      </c>
      <c r="B12" s="47">
        <v>1048</v>
      </c>
      <c r="C12" s="39"/>
    </row>
    <row r="13" spans="1:3">
      <c r="A13" s="29"/>
      <c r="B13" s="8"/>
      <c r="C13" s="38"/>
    </row>
    <row r="14" spans="1:3">
      <c r="A14" s="30"/>
      <c r="B14" s="14"/>
      <c r="C14" s="39"/>
    </row>
    <row r="15" spans="1:3">
      <c r="A15" s="29"/>
      <c r="B15" s="3"/>
      <c r="C15" s="38"/>
    </row>
    <row r="16" spans="1:3">
      <c r="A16" s="30"/>
      <c r="B16" s="14"/>
      <c r="C16" s="39"/>
    </row>
    <row r="17" spans="1:3">
      <c r="A17" s="29"/>
      <c r="B17" s="8"/>
      <c r="C17" s="38"/>
    </row>
    <row r="18" spans="1:3">
      <c r="A18" s="30"/>
      <c r="B18" s="14"/>
      <c r="C18" s="39"/>
    </row>
    <row r="19" spans="1:3">
      <c r="A19" s="29"/>
      <c r="B19" s="3"/>
      <c r="C19" s="38"/>
    </row>
    <row r="20" spans="1:3">
      <c r="A20" s="30"/>
      <c r="B20" s="11"/>
      <c r="C20" s="39"/>
    </row>
    <row r="21" spans="1:3">
      <c r="A21" s="29"/>
      <c r="B21" s="3"/>
      <c r="C21" s="38"/>
    </row>
    <row r="22" spans="1:3">
      <c r="A22" s="30"/>
      <c r="B22" s="11"/>
      <c r="C22" s="39"/>
    </row>
    <row r="23" spans="1:3">
      <c r="A23" s="29"/>
      <c r="B23" s="3"/>
      <c r="C23" s="38"/>
    </row>
    <row r="24" spans="1:3">
      <c r="A24" s="30"/>
      <c r="B24" s="11"/>
      <c r="C24" s="39"/>
    </row>
    <row r="25" spans="1:3">
      <c r="A25" s="29"/>
      <c r="B25" s="3"/>
      <c r="C25" s="38"/>
    </row>
    <row r="26" spans="1:3">
      <c r="A26" s="30"/>
      <c r="B26" s="11"/>
      <c r="C26" s="39"/>
    </row>
    <row r="27" spans="1:3">
      <c r="A27" s="29"/>
      <c r="B27" s="3"/>
      <c r="C27" s="38"/>
    </row>
    <row r="28" spans="1:3">
      <c r="A28" s="30"/>
      <c r="B28" s="11"/>
      <c r="C28" s="39"/>
    </row>
    <row r="29" spans="1:3">
      <c r="A29" s="29"/>
      <c r="B29" s="3"/>
      <c r="C29" s="38"/>
    </row>
    <row r="30" spans="1:3">
      <c r="A30" s="30"/>
      <c r="B30" s="11"/>
      <c r="C30" s="39"/>
    </row>
    <row r="31" spans="1:3">
      <c r="A31" s="29"/>
      <c r="B31" s="3"/>
      <c r="C31" s="38"/>
    </row>
    <row r="32" spans="1:3">
      <c r="A32" s="30"/>
      <c r="B32" s="11"/>
      <c r="C32" s="39"/>
    </row>
    <row r="33" spans="1:3">
      <c r="A33" s="29"/>
      <c r="B33" s="3"/>
      <c r="C33" s="38"/>
    </row>
    <row r="34" spans="1:3">
      <c r="A34" s="30"/>
      <c r="B34" s="11"/>
      <c r="C34" s="39"/>
    </row>
    <row r="35" spans="1:3">
      <c r="A35" s="29"/>
      <c r="B35" s="3"/>
      <c r="C35" s="38"/>
    </row>
    <row r="36" spans="1:3">
      <c r="A36" s="30"/>
      <c r="B36" s="11"/>
      <c r="C36" s="39"/>
    </row>
    <row r="37" spans="1:3">
      <c r="A37" s="29"/>
      <c r="B37" s="3"/>
      <c r="C37" s="38"/>
    </row>
    <row r="38" spans="1:3">
      <c r="A38" s="30"/>
      <c r="B38" s="11"/>
      <c r="C38" s="39"/>
    </row>
    <row r="39" spans="1:3">
      <c r="A39" s="29"/>
      <c r="B39" s="3"/>
      <c r="C39" s="38"/>
    </row>
    <row r="40" spans="1:3">
      <c r="A40" s="30"/>
      <c r="B40" s="11"/>
      <c r="C40" s="39"/>
    </row>
    <row r="41" spans="1:3">
      <c r="A41" s="29"/>
      <c r="B41" s="3"/>
      <c r="C41" s="38"/>
    </row>
    <row r="42" spans="1:3">
      <c r="A42" s="30"/>
      <c r="B42" s="11"/>
      <c r="C42" s="39"/>
    </row>
    <row r="43" spans="1:3">
      <c r="A43" s="29"/>
      <c r="B43" s="3"/>
      <c r="C43" s="38"/>
    </row>
    <row r="44" spans="1:3">
      <c r="A44" s="30"/>
      <c r="B44" s="11"/>
      <c r="C44" s="39"/>
    </row>
    <row r="45" spans="1:3">
      <c r="A45" s="29"/>
      <c r="B45" s="3"/>
      <c r="C45" s="38"/>
    </row>
    <row r="46" spans="1:3">
      <c r="A46" s="30"/>
      <c r="B46" s="11"/>
      <c r="C46" s="39"/>
    </row>
    <row r="47" spans="1:3">
      <c r="A47" s="29"/>
      <c r="B47" s="3"/>
      <c r="C47" s="38"/>
    </row>
    <row r="48" spans="1:3">
      <c r="A48" s="30"/>
      <c r="B48" s="11"/>
      <c r="C48" s="39"/>
    </row>
    <row r="49" spans="1:3">
      <c r="A49" s="29"/>
      <c r="B49" s="3"/>
      <c r="C49" s="38"/>
    </row>
    <row r="50" spans="1:3">
      <c r="A50" s="30"/>
      <c r="B50" s="11"/>
      <c r="C50" s="39"/>
    </row>
    <row r="51" spans="1:3">
      <c r="A51" s="29"/>
      <c r="B51" s="3"/>
      <c r="C51" s="38"/>
    </row>
    <row r="52" spans="1:3">
      <c r="A52" s="30"/>
      <c r="B52" s="11"/>
      <c r="C52" s="39"/>
    </row>
    <row r="53" spans="1:3">
      <c r="A53" s="29"/>
      <c r="B53" s="3"/>
      <c r="C53" s="38"/>
    </row>
    <row r="54" spans="1:3">
      <c r="A54" s="30"/>
      <c r="B54" s="11"/>
      <c r="C54" s="39"/>
    </row>
    <row r="55" spans="1:3">
      <c r="A55" s="29"/>
      <c r="B55" s="3"/>
      <c r="C55" s="38"/>
    </row>
    <row r="56" spans="1:3">
      <c r="A56" s="30"/>
      <c r="B56" s="11"/>
      <c r="C56" s="39"/>
    </row>
    <row r="57" spans="1:3">
      <c r="A57" s="29"/>
      <c r="B57" s="3"/>
      <c r="C57" s="38"/>
    </row>
    <row r="58" spans="1:3">
      <c r="A58" s="30"/>
      <c r="B58" s="11"/>
      <c r="C58" s="39"/>
    </row>
    <row r="59" spans="1:3">
      <c r="A59" s="29"/>
      <c r="B59" s="3"/>
      <c r="C59" s="38"/>
    </row>
    <row r="60" spans="1:3">
      <c r="A60" s="30"/>
      <c r="B60" s="11"/>
      <c r="C60" s="39"/>
    </row>
    <row r="61" spans="1:3">
      <c r="A61" s="29"/>
      <c r="B61" s="3"/>
      <c r="C61" s="38"/>
    </row>
    <row r="62" spans="1:3">
      <c r="A62" s="30"/>
      <c r="B62" s="11"/>
      <c r="C62" s="39"/>
    </row>
    <row r="63" spans="1:3">
      <c r="A63" s="29"/>
      <c r="B63" s="3"/>
      <c r="C63" s="38"/>
    </row>
    <row r="64" spans="1:3">
      <c r="A64" s="30"/>
      <c r="B64" s="11"/>
      <c r="C64" s="39"/>
    </row>
    <row r="65" spans="1:3">
      <c r="A65" s="29"/>
      <c r="B65" s="3"/>
      <c r="C65" s="38"/>
    </row>
    <row r="66" spans="1:3">
      <c r="A66" s="30"/>
      <c r="B66" s="11"/>
      <c r="C66" s="39"/>
    </row>
    <row r="67" spans="1:3">
      <c r="A67" s="29"/>
      <c r="B67" s="3"/>
      <c r="C67" s="38"/>
    </row>
    <row r="68" spans="1:3">
      <c r="A68" s="30"/>
      <c r="B68" s="11"/>
      <c r="C68" s="39"/>
    </row>
    <row r="69" spans="1:3">
      <c r="A69" s="29"/>
      <c r="B69" s="3"/>
      <c r="C69" s="38"/>
    </row>
    <row r="70" spans="1:3">
      <c r="A70" s="30"/>
      <c r="B70" s="11"/>
      <c r="C70" s="39"/>
    </row>
    <row r="71" spans="1:3">
      <c r="A71" s="29"/>
      <c r="B71" s="3"/>
      <c r="C71" s="38"/>
    </row>
    <row r="72" spans="1:3">
      <c r="C72" s="40"/>
    </row>
    <row r="73" spans="1:3">
      <c r="A73" s="26"/>
      <c r="B73" s="27"/>
      <c r="C73" s="41"/>
    </row>
    <row r="74" spans="1:3">
      <c r="C74" s="40"/>
    </row>
  </sheetData>
  <hyperlinks>
    <hyperlink ref="A3" r:id="rId1" location="tab=box-office" xr:uid="{B5AA73ED-594A-CC40-B2F6-E825A6FA8DF3}"/>
    <hyperlink ref="A4" r:id="rId2" location="tab=box-office" xr:uid="{ABF42FC5-C557-B840-B1DE-A39BF1548D9F}"/>
    <hyperlink ref="A5" r:id="rId3" location="tab=box-office" xr:uid="{3FD6C2C6-25F1-DD45-BC71-615F0E4C1169}"/>
    <hyperlink ref="A6" r:id="rId4" location="tab=box-office" xr:uid="{DB0FBBFA-F63C-CD48-9563-4B48F0188DC5}"/>
    <hyperlink ref="A7" r:id="rId5" location="tab=box-office" xr:uid="{1DD3897E-31D7-6D4B-A1B5-E9CB16D02300}"/>
    <hyperlink ref="A8" r:id="rId6" location="tab=box-office" xr:uid="{6B90B40D-7D8C-5548-8138-6B0294300794}"/>
    <hyperlink ref="A9" r:id="rId7" location="tab=box-office" xr:uid="{F3AEC2B9-488A-8643-8438-929AEACA3738}"/>
    <hyperlink ref="A10" r:id="rId8" location="tab=box-office" xr:uid="{EA7731CE-EF5A-1540-9402-13ED5C6A111D}"/>
    <hyperlink ref="A11" r:id="rId9" location="tab=box-office" xr:uid="{D2EAB1ED-F046-C34C-BDB9-D616ED0A17B8}"/>
    <hyperlink ref="A12" r:id="rId10" location="tab=box-office" xr:uid="{97AFCAFC-19C0-9143-89CE-5E8CA9D40DBE}"/>
  </hyperlinks>
  <pageMargins left="0.7" right="0.7" top="0.75" bottom="0.75" header="0.3" footer="0.3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40FE-FC4D-402F-9732-73CC627D49FC}">
  <dimension ref="A2:C13"/>
  <sheetViews>
    <sheetView workbookViewId="0">
      <selection activeCell="C24" sqref="C24"/>
    </sheetView>
  </sheetViews>
  <sheetFormatPr defaultRowHeight="14.4"/>
  <cols>
    <col min="1" max="1" width="25.33203125" bestFit="1" customWidth="1"/>
    <col min="2" max="2" width="17" bestFit="1" customWidth="1"/>
    <col min="3" max="3" width="18.88671875" bestFit="1" customWidth="1"/>
  </cols>
  <sheetData>
    <row r="2" spans="1:3">
      <c r="A2" s="33" t="s">
        <v>1</v>
      </c>
      <c r="B2" t="s">
        <v>118</v>
      </c>
      <c r="C2" t="s">
        <v>119</v>
      </c>
    </row>
    <row r="3" spans="1:3">
      <c r="A3" t="s">
        <v>31</v>
      </c>
      <c r="B3">
        <v>2440</v>
      </c>
      <c r="C3" s="32">
        <v>422985124</v>
      </c>
    </row>
    <row r="4" spans="1:3">
      <c r="A4" t="s">
        <v>23</v>
      </c>
      <c r="B4">
        <v>1824</v>
      </c>
      <c r="C4" s="32">
        <v>351033773</v>
      </c>
    </row>
    <row r="5" spans="1:3">
      <c r="A5" t="s">
        <v>29</v>
      </c>
      <c r="B5">
        <v>1352</v>
      </c>
      <c r="C5" s="32">
        <v>337919055</v>
      </c>
    </row>
    <row r="6" spans="1:3">
      <c r="A6" t="s">
        <v>12</v>
      </c>
      <c r="B6">
        <v>3200</v>
      </c>
      <c r="C6" s="32">
        <v>281898790</v>
      </c>
    </row>
    <row r="7" spans="1:3">
      <c r="A7" t="s">
        <v>21</v>
      </c>
      <c r="B7">
        <v>2785</v>
      </c>
      <c r="C7" s="32">
        <v>264835533</v>
      </c>
    </row>
    <row r="8" spans="1:3">
      <c r="A8" t="s">
        <v>41</v>
      </c>
      <c r="B8">
        <v>217</v>
      </c>
      <c r="C8" s="32">
        <v>262909095</v>
      </c>
    </row>
    <row r="9" spans="1:3">
      <c r="A9" t="s">
        <v>30</v>
      </c>
      <c r="B9">
        <v>728</v>
      </c>
      <c r="C9" s="32">
        <v>187852423</v>
      </c>
    </row>
    <row r="10" spans="1:3">
      <c r="A10" t="s">
        <v>10</v>
      </c>
      <c r="B10">
        <v>3416</v>
      </c>
      <c r="C10" s="32">
        <v>132659399</v>
      </c>
    </row>
    <row r="11" spans="1:3">
      <c r="A11" t="s">
        <v>17</v>
      </c>
      <c r="B11">
        <v>3475</v>
      </c>
      <c r="C11" s="32">
        <v>80697936</v>
      </c>
    </row>
    <row r="12" spans="1:3">
      <c r="A12" t="s">
        <v>22</v>
      </c>
      <c r="B12">
        <v>3024</v>
      </c>
      <c r="C12" s="32">
        <v>73062085</v>
      </c>
    </row>
    <row r="13" spans="1:3">
      <c r="A13" t="s">
        <v>117</v>
      </c>
      <c r="B13">
        <v>2246.1</v>
      </c>
      <c r="C13" s="32">
        <v>239585321.30000001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DA0F-9F20-4303-A6EE-02E3EAC8D71E}">
  <dimension ref="A3:B14"/>
  <sheetViews>
    <sheetView workbookViewId="0">
      <selection activeCell="G4" sqref="G4"/>
    </sheetView>
  </sheetViews>
  <sheetFormatPr defaultRowHeight="14.4"/>
  <cols>
    <col min="1" max="1" width="23.109375" bestFit="1" customWidth="1"/>
    <col min="2" max="2" width="10.6640625" bestFit="1" customWidth="1"/>
  </cols>
  <sheetData>
    <row r="3" spans="1:2">
      <c r="A3" s="33" t="s">
        <v>115</v>
      </c>
      <c r="B3" t="s">
        <v>121</v>
      </c>
    </row>
    <row r="4" spans="1:2">
      <c r="A4" s="34" t="s">
        <v>50</v>
      </c>
      <c r="B4" s="52">
        <v>-0.73</v>
      </c>
    </row>
    <row r="5" spans="1:2">
      <c r="A5" s="34" t="s">
        <v>56</v>
      </c>
      <c r="B5" s="52">
        <v>-0.73</v>
      </c>
    </row>
    <row r="6" spans="1:2">
      <c r="A6" s="34" t="s">
        <v>95</v>
      </c>
      <c r="B6" s="52">
        <v>-0.82</v>
      </c>
    </row>
    <row r="7" spans="1:2">
      <c r="A7" s="34" t="s">
        <v>34</v>
      </c>
      <c r="B7" s="52">
        <v>-0.82</v>
      </c>
    </row>
    <row r="8" spans="1:2">
      <c r="A8" s="34" t="s">
        <v>36</v>
      </c>
      <c r="B8" s="52">
        <v>-0.83</v>
      </c>
    </row>
    <row r="9" spans="1:2">
      <c r="A9" s="34" t="s">
        <v>92</v>
      </c>
      <c r="B9" s="52">
        <v>-0.87</v>
      </c>
    </row>
    <row r="10" spans="1:2">
      <c r="A10" s="34" t="s">
        <v>42</v>
      </c>
      <c r="B10" s="52">
        <v>-0.87</v>
      </c>
    </row>
    <row r="11" spans="1:2">
      <c r="A11" s="34" t="s">
        <v>67</v>
      </c>
      <c r="B11" s="52">
        <v>-0.93</v>
      </c>
    </row>
    <row r="12" spans="1:2">
      <c r="A12" s="34" t="s">
        <v>113</v>
      </c>
      <c r="B12" s="52">
        <v>-0.94</v>
      </c>
    </row>
    <row r="13" spans="1:2">
      <c r="A13" s="34" t="s">
        <v>96</v>
      </c>
      <c r="B13" s="52">
        <v>-0.99</v>
      </c>
    </row>
    <row r="14" spans="1:2">
      <c r="A14" s="34" t="s">
        <v>117</v>
      </c>
      <c r="B14" s="52">
        <v>-0.73</v>
      </c>
    </row>
  </sheetData>
  <conditionalFormatting pivot="1" sqref="B4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9986-4179-42F9-8226-F3A11F5DA168}">
  <dimension ref="A3:B14"/>
  <sheetViews>
    <sheetView workbookViewId="0">
      <selection activeCell="I27" sqref="I27"/>
    </sheetView>
  </sheetViews>
  <sheetFormatPr defaultRowHeight="14.4"/>
  <cols>
    <col min="1" max="1" width="28.33203125" bestFit="1" customWidth="1"/>
    <col min="2" max="2" width="10.6640625" bestFit="1" customWidth="1"/>
  </cols>
  <sheetData>
    <row r="3" spans="1:2">
      <c r="A3" s="33" t="s">
        <v>115</v>
      </c>
      <c r="B3" t="s">
        <v>121</v>
      </c>
    </row>
    <row r="4" spans="1:2">
      <c r="A4" s="34" t="s">
        <v>69</v>
      </c>
      <c r="B4" s="52">
        <v>86.2</v>
      </c>
    </row>
    <row r="5" spans="1:2">
      <c r="A5" s="34" t="s">
        <v>31</v>
      </c>
      <c r="B5" s="52">
        <v>41.22</v>
      </c>
    </row>
    <row r="6" spans="1:2">
      <c r="A6" s="34" t="s">
        <v>58</v>
      </c>
      <c r="B6" s="52">
        <v>9.85</v>
      </c>
    </row>
    <row r="7" spans="1:2">
      <c r="A7" s="34" t="s">
        <v>93</v>
      </c>
      <c r="B7" s="52">
        <v>5.68</v>
      </c>
    </row>
    <row r="8" spans="1:2">
      <c r="A8" s="34" t="s">
        <v>89</v>
      </c>
      <c r="B8" s="52">
        <v>3.11</v>
      </c>
    </row>
    <row r="9" spans="1:2">
      <c r="A9" s="34" t="s">
        <v>46</v>
      </c>
      <c r="B9" s="52">
        <v>1.02</v>
      </c>
    </row>
    <row r="10" spans="1:2">
      <c r="A10" s="34" t="s">
        <v>109</v>
      </c>
      <c r="B10" s="52">
        <v>0.62</v>
      </c>
    </row>
    <row r="11" spans="1:2">
      <c r="A11" s="34" t="s">
        <v>40</v>
      </c>
      <c r="B11" s="52">
        <v>0.62</v>
      </c>
    </row>
    <row r="12" spans="1:2">
      <c r="A12" s="34" t="s">
        <v>74</v>
      </c>
      <c r="B12" s="52">
        <v>0.56000000000000005</v>
      </c>
    </row>
    <row r="13" spans="1:2">
      <c r="A13" s="34" t="s">
        <v>85</v>
      </c>
      <c r="B13" s="52">
        <v>0.43</v>
      </c>
    </row>
    <row r="14" spans="1:2">
      <c r="A14" s="34" t="s">
        <v>117</v>
      </c>
      <c r="B14" s="52">
        <v>86.2</v>
      </c>
    </row>
  </sheetData>
  <conditionalFormatting pivot="1" sqref="B4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690AFCD97FD74F9FE69462AB480D90" ma:contentTypeVersion="6" ma:contentTypeDescription="Create a new document." ma:contentTypeScope="" ma:versionID="b6e999e827527a6320d7cf4e031a75a2">
  <xsd:schema xmlns:xsd="http://www.w3.org/2001/XMLSchema" xmlns:xs="http://www.w3.org/2001/XMLSchema" xmlns:p="http://schemas.microsoft.com/office/2006/metadata/properties" xmlns:ns3="34c5aa33-d5f7-4742-972b-6f9951bc4dbb" targetNamespace="http://schemas.microsoft.com/office/2006/metadata/properties" ma:root="true" ma:fieldsID="d59ee6da24278a74f294c152bffccc61" ns3:_="">
    <xsd:import namespace="34c5aa33-d5f7-4742-972b-6f9951bc4db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5aa33-d5f7-4742-972b-6f9951bc4db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c5aa33-d5f7-4742-972b-6f9951bc4dbb" xsi:nil="true"/>
  </documentManagement>
</p:properties>
</file>

<file path=customXml/itemProps1.xml><?xml version="1.0" encoding="utf-8"?>
<ds:datastoreItem xmlns:ds="http://schemas.openxmlformats.org/officeDocument/2006/customXml" ds:itemID="{CCFEA733-FFC4-436C-ACDD-58D6E3D12A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7F505E-8A97-4854-B737-9A5DFF9CA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c5aa33-d5f7-4742-972b-6f9951bc4d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CBADB0-BAAD-4894-AFC2-7772E310F4C9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34c5aa33-d5f7-4742-972b-6f9951bc4dbb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Data Set</vt:lpstr>
      <vt:lpstr>Top 10 Movies</vt:lpstr>
      <vt:lpstr>Top 10 Distributors</vt:lpstr>
      <vt:lpstr>Distributor Market Share</vt:lpstr>
      <vt:lpstr>Theater Performance</vt:lpstr>
      <vt:lpstr>Theaters vs Gross</vt:lpstr>
      <vt:lpstr>Bottom 10 LW% Change </vt:lpstr>
      <vt:lpstr>Top 10 LW% Change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Vanessa Negrete-Vega</dc:creator>
  <cp:keywords/>
  <dc:description/>
  <cp:lastModifiedBy>Vanessa Negrete-Vega</cp:lastModifiedBy>
  <cp:revision/>
  <dcterms:created xsi:type="dcterms:W3CDTF">2025-09-09T18:07:52Z</dcterms:created>
  <dcterms:modified xsi:type="dcterms:W3CDTF">2026-08-10T16:13:44Z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0x01010009690AFCD97FD74F9FE69462AB480D90</vt:lpwstr>
  </property>
</Properties>
</file>