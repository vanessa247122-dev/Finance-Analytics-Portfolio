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anes\Downloads\PROJECTS\"/>
    </mc:Choice>
  </mc:AlternateContent>
  <xr:revisionPtr revIDLastSave="0" documentId="8_{075B1304-2622-4E29-A5D2-E8EF8297E044}" xr6:coauthVersionLast="47" xr6:coauthVersionMax="47" xr10:uidLastSave="{00000000-0000-0000-0000-000000000000}"/>
  <bookViews>
    <workbookView xWindow="-108" yWindow="-108" windowWidth="23256" windowHeight="13896" xr2:uid="{B19D6C23-561F-498E-92B1-2A6B6AEFD897}"/>
  </bookViews>
  <sheets>
    <sheet name="Inputs" sheetId="1" r:id="rId1"/>
    <sheet name="Buy_Model" sheetId="2" r:id="rId2"/>
    <sheet name="Hybrid_Model" sheetId="3" r:id="rId3"/>
    <sheet name="Transit_Model" sheetId="4" r:id="rId4"/>
    <sheet name="Comparsion" sheetId="5" r:id="rId5"/>
    <sheet name="Sensitivit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5" l="1"/>
  <c r="B35" i="5"/>
  <c r="F9" i="4"/>
  <c r="E9" i="4"/>
  <c r="E10" i="4" s="1"/>
  <c r="D9" i="4"/>
  <c r="C9" i="4"/>
  <c r="C10" i="4" s="1"/>
  <c r="B9" i="4"/>
  <c r="B10" i="4" s="1"/>
  <c r="F10" i="4"/>
  <c r="D10" i="4"/>
  <c r="B18" i="3"/>
  <c r="F17" i="3"/>
  <c r="E17" i="3"/>
  <c r="D17" i="3"/>
  <c r="C17" i="3"/>
  <c r="B17" i="3"/>
  <c r="F16" i="3"/>
  <c r="E16" i="3"/>
  <c r="D16" i="3"/>
  <c r="C16" i="3"/>
  <c r="B16" i="3"/>
  <c r="F14" i="2"/>
  <c r="E14" i="2"/>
  <c r="D14" i="2"/>
  <c r="C14" i="2"/>
  <c r="B14" i="2"/>
  <c r="B21" i="6"/>
  <c r="D7" i="6"/>
  <c r="D6" i="6"/>
  <c r="D5" i="6"/>
  <c r="C7" i="6"/>
  <c r="E7" i="6" s="1"/>
  <c r="C6" i="6"/>
  <c r="E6" i="6" s="1"/>
  <c r="C5" i="6"/>
  <c r="E5" i="6" s="1"/>
  <c r="F5" i="6" s="1"/>
  <c r="D8" i="3"/>
  <c r="D7" i="3"/>
  <c r="D6" i="3"/>
  <c r="C5" i="3"/>
  <c r="B5" i="3"/>
  <c r="D5" i="3"/>
  <c r="B14" i="5"/>
  <c r="B12" i="5"/>
  <c r="F2" i="4"/>
  <c r="E2" i="4"/>
  <c r="D2" i="4"/>
  <c r="C2" i="4"/>
  <c r="B2" i="4"/>
  <c r="F3" i="4" s="1"/>
  <c r="F4" i="4" s="1"/>
  <c r="F8" i="3"/>
  <c r="E8" i="3"/>
  <c r="F7" i="3"/>
  <c r="E7" i="3"/>
  <c r="C6" i="3"/>
  <c r="F5" i="3"/>
  <c r="E5" i="3"/>
  <c r="E4" i="3"/>
  <c r="F4" i="3"/>
  <c r="D4" i="3"/>
  <c r="F8" i="2"/>
  <c r="C8" i="2"/>
  <c r="D8" i="2"/>
  <c r="E8" i="2"/>
  <c r="B8" i="2"/>
  <c r="F6" i="2"/>
  <c r="E6" i="2"/>
  <c r="D6" i="2"/>
  <c r="C6" i="2"/>
  <c r="B6" i="2"/>
  <c r="F5" i="2"/>
  <c r="E5" i="2"/>
  <c r="D5" i="2"/>
  <c r="C5" i="2"/>
  <c r="B5" i="2"/>
  <c r="B4" i="2"/>
  <c r="C4" i="2" s="1"/>
  <c r="D4" i="2" s="1"/>
  <c r="E4" i="2" s="1"/>
  <c r="F4" i="2" s="1"/>
  <c r="F3" i="2"/>
  <c r="E3" i="2"/>
  <c r="D3" i="2"/>
  <c r="C3" i="2"/>
  <c r="B3" i="2"/>
  <c r="F2" i="2"/>
  <c r="E2" i="2"/>
  <c r="D2" i="2"/>
  <c r="C2" i="2"/>
  <c r="B2" i="2"/>
  <c r="B10" i="1"/>
  <c r="B4" i="1"/>
  <c r="B11" i="4" l="1"/>
  <c r="B19" i="5"/>
  <c r="F7" i="6"/>
  <c r="B20" i="6"/>
  <c r="E6" i="3"/>
  <c r="F6" i="3" s="1"/>
  <c r="F9" i="3" s="1"/>
  <c r="F11" i="3" s="1"/>
  <c r="B9" i="3"/>
  <c r="B11" i="3" s="1"/>
  <c r="B3" i="4"/>
  <c r="B4" i="4" s="1"/>
  <c r="C3" i="4"/>
  <c r="C4" i="4" s="1"/>
  <c r="B7" i="2"/>
  <c r="B9" i="2" s="1"/>
  <c r="B15" i="2" s="1"/>
  <c r="D3" i="4"/>
  <c r="D4" i="4" s="1"/>
  <c r="C7" i="2"/>
  <c r="C9" i="2" s="1"/>
  <c r="C15" i="2" s="1"/>
  <c r="E3" i="4"/>
  <c r="E4" i="4" s="1"/>
  <c r="C9" i="3"/>
  <c r="C11" i="3" s="1"/>
  <c r="D9" i="3"/>
  <c r="D11" i="3" s="1"/>
  <c r="F7" i="2"/>
  <c r="F9" i="2" s="1"/>
  <c r="F15" i="2" s="1"/>
  <c r="D7" i="2"/>
  <c r="D9" i="2" s="1"/>
  <c r="D15" i="2" s="1"/>
  <c r="E7" i="2"/>
  <c r="E9" i="2" s="1"/>
  <c r="E15" i="2" s="1"/>
  <c r="B16" i="2" l="1"/>
  <c r="B34" i="5" s="1"/>
  <c r="E9" i="3"/>
  <c r="E11" i="3" s="1"/>
  <c r="B13" i="3"/>
  <c r="B3" i="5" s="1"/>
  <c r="B11" i="2"/>
  <c r="B6" i="4"/>
  <c r="B4" i="5" s="1"/>
  <c r="B2" i="5" l="1"/>
  <c r="B22" i="6"/>
  <c r="B13" i="5"/>
  <c r="B9" i="5"/>
  <c r="B8" i="5"/>
  <c r="B7" i="5"/>
  <c r="B18" i="5" l="1"/>
  <c r="B17" i="5"/>
</calcChain>
</file>

<file path=xl/sharedStrings.xml><?xml version="1.0" encoding="utf-8"?>
<sst xmlns="http://schemas.openxmlformats.org/spreadsheetml/2006/main" count="150" uniqueCount="129">
  <si>
    <t>Jordans Profile</t>
  </si>
  <si>
    <t>Annual Income</t>
  </si>
  <si>
    <t>Monthly Income</t>
  </si>
  <si>
    <t>Current Savings</t>
  </si>
  <si>
    <t>401k Contribution Rate</t>
  </si>
  <si>
    <t>Employer Match</t>
  </si>
  <si>
    <t>Monthly Commute  Miles</t>
  </si>
  <si>
    <t>Analysis Period (Years)</t>
  </si>
  <si>
    <t>Analysis Period (Months)</t>
  </si>
  <si>
    <t>Buy Assumptions</t>
  </si>
  <si>
    <t>Buy Upfront Cost</t>
  </si>
  <si>
    <t>Buy Monthly Loan Payment</t>
  </si>
  <si>
    <t>Loan Term Months</t>
  </si>
  <si>
    <t>Buy Monthly Insurance</t>
  </si>
  <si>
    <t>Buy Monthly Gas</t>
  </si>
  <si>
    <t>Buy Annual Maintenance</t>
  </si>
  <si>
    <t>Buy Resale Value Year 5</t>
  </si>
  <si>
    <t>Lease Assumptions</t>
  </si>
  <si>
    <t>Lease Upfront Cost</t>
  </si>
  <si>
    <t>Lease Monthly Payment</t>
  </si>
  <si>
    <t>Lease Term Months</t>
  </si>
  <si>
    <t>Lease Monthly Insurance</t>
  </si>
  <si>
    <t>Lease Monthly Gas</t>
  </si>
  <si>
    <t>Lease Annual Maintenance</t>
  </si>
  <si>
    <t>Transit/Rideshare assumptions</t>
  </si>
  <si>
    <t>Transit Monthly Cost</t>
  </si>
  <si>
    <t>Low Fluctuation Rate</t>
  </si>
  <si>
    <t>High Fluctuation Rate</t>
  </si>
  <si>
    <t>Shared Assumptions</t>
  </si>
  <si>
    <t>Insurance Growth Rate</t>
  </si>
  <si>
    <t>Discount / Investment Rate (optional TVM)</t>
  </si>
  <si>
    <t>Year</t>
  </si>
  <si>
    <t>Upfront Cost</t>
  </si>
  <si>
    <t>Loan Payments</t>
  </si>
  <si>
    <t>Insurance</t>
  </si>
  <si>
    <t>Gas</t>
  </si>
  <si>
    <t>Maintenance</t>
  </si>
  <si>
    <t>Gross Annual Cost</t>
  </si>
  <si>
    <t>Resale Value</t>
  </si>
  <si>
    <t>Net Annual Cost</t>
  </si>
  <si>
    <t>Monthly Cost</t>
  </si>
  <si>
    <t>Annual Transit Cost</t>
  </si>
  <si>
    <t>Total 5 year Buy Cost</t>
  </si>
  <si>
    <t>Total 5 Year Transit/Rideshare Cost</t>
  </si>
  <si>
    <t>Buy 5-Year Cost</t>
  </si>
  <si>
    <t>Transit 5-Year Cost</t>
  </si>
  <si>
    <t>Savings of Transit vs Buy</t>
  </si>
  <si>
    <t>KPI (Key Perfomance Indicators)</t>
  </si>
  <si>
    <t>Buy Monthly Burden</t>
  </si>
  <si>
    <t>Transit Monthly Burden</t>
  </si>
  <si>
    <t>Decision Matrix</t>
  </si>
  <si>
    <t>Criteria</t>
  </si>
  <si>
    <t>Buy</t>
  </si>
  <si>
    <t>Lease</t>
  </si>
  <si>
    <t>Transit</t>
  </si>
  <si>
    <t>Cost</t>
  </si>
  <si>
    <t>Liquidity</t>
  </si>
  <si>
    <t>Flexibility</t>
  </si>
  <si>
    <t>Sustainability</t>
  </si>
  <si>
    <t>Home Goal Alignment</t>
  </si>
  <si>
    <t>Total Score</t>
  </si>
  <si>
    <t>We used a 1-to-5 decision matrix, where 1 represents the weakest performance and 5 represents the strongest performance. This helped us compare each option not only on total financial cost, but also on liquidity, flexibility, sustainability, and how well it supports Jordan’s goal of buying a home in five years.</t>
  </si>
  <si>
    <t>Hybrid Assumptions</t>
  </si>
  <si>
    <t>Monthly Payments</t>
  </si>
  <si>
    <t>Hybrid 5-Year Cost</t>
  </si>
  <si>
    <t>Savings of Transit vs Hybrid</t>
  </si>
  <si>
    <t>Hybrid</t>
  </si>
  <si>
    <t>(blended avg across both phases)</t>
  </si>
  <si>
    <t>Hybrid Savings vs Buy (monthly)</t>
  </si>
  <si>
    <t>Transit Savings vs Hybrid (monthly)</t>
  </si>
  <si>
    <t>Transit Savings vs Buy (monthly)</t>
  </si>
  <si>
    <t>Total 5 year Hybrid Cost</t>
  </si>
  <si>
    <t xml:space="preserve">Transit </t>
  </si>
  <si>
    <t>months</t>
  </si>
  <si>
    <t>Savings of Hybrid vs Buy</t>
  </si>
  <si>
    <t>Phase 1</t>
  </si>
  <si>
    <t>Phase 2</t>
  </si>
  <si>
    <t>Low Case (-10%)</t>
  </si>
  <si>
    <t>Base Case (0%)</t>
  </si>
  <si>
    <t>High Case (+10%)</t>
  </si>
  <si>
    <t>Hybrid Total</t>
  </si>
  <si>
    <t>vs Base Case</t>
  </si>
  <si>
    <t>Scenario</t>
  </si>
  <si>
    <t xml:space="preserve">Transit Rate </t>
  </si>
  <si>
    <t>Phase 1 Cost (Years 1-2)</t>
  </si>
  <si>
    <t>Phase 2 Cost (Fixed)</t>
  </si>
  <si>
    <t>Insight: Phase 2 lease costs are fixed by contract, only 24 month transit phase carries cost uncertainty</t>
  </si>
  <si>
    <t>Qualitative Risk: Transit Service Availability</t>
  </si>
  <si>
    <t>Risk Factor</t>
  </si>
  <si>
    <t>Likelihood</t>
  </si>
  <si>
    <t>Mitigation</t>
  </si>
  <si>
    <t>Hybrid Advantage</t>
  </si>
  <si>
    <t>Transit Disruption ( strikes, service cuts)</t>
  </si>
  <si>
    <t>Rideshare price surge (demand spikes)</t>
  </si>
  <si>
    <t>Low-Medium</t>
  </si>
  <si>
    <t>Medium (10% tested above)</t>
  </si>
  <si>
    <t>Financial Impact</t>
  </si>
  <si>
    <t xml:space="preserve"> Jordan's Exposure</t>
  </si>
  <si>
    <t>Lease provides own vehicle by Year 3</t>
  </si>
  <si>
    <t>Fixed lease costs give certainty from Year 3 onward</t>
  </si>
  <si>
    <t>Keep $1000-$2000 emergency buffer from early savings</t>
  </si>
  <si>
    <t>Use public transit as primary; rideshare as supplement only</t>
  </si>
  <si>
    <t>Months 1-24 only; Phase 2 lease eliminates this risk</t>
  </si>
  <si>
    <t>Rideshare costs spike during Phase 1</t>
  </si>
  <si>
    <t>Up to +$912 over 24 months at worst</t>
  </si>
  <si>
    <t>Insight: Transit risk is real but time limited to Phase 1 only. The lease eliminates service availability risk entirely from Year 3</t>
  </si>
  <si>
    <t>Risk Summary</t>
  </si>
  <si>
    <t>Transit Cost Spread (Low to High)</t>
  </si>
  <si>
    <t xml:space="preserve">Only $1824 between worst and best transit scenario </t>
  </si>
  <si>
    <t>Lease phase cost (Phase 2)</t>
  </si>
  <si>
    <t>Hybrid worst case vs Buy</t>
  </si>
  <si>
    <t>Hybrid still cheaper than Buy even in worst case</t>
  </si>
  <si>
    <t>Contractually fixed, zero fluctuation risk in Years 3-5</t>
  </si>
  <si>
    <t>Hybrid Strategy Sensitivity Analysis</t>
  </si>
  <si>
    <t>Quantitative Risk: Transit Cost Fluctuation 10%</t>
  </si>
  <si>
    <t>Bounded; worst case still $1,253 cheaper than Buy</t>
  </si>
  <si>
    <t>Hybrid Monthly Burden</t>
  </si>
  <si>
    <t>TMV Analysis | Discount Rate 5%</t>
  </si>
  <si>
    <t>Discount Factor 5%</t>
  </si>
  <si>
    <t>PV of Annual Cost</t>
  </si>
  <si>
    <t>Discounted 5 Year Buy Cost</t>
  </si>
  <si>
    <t>Discounted 5 Year Hybrid Cost</t>
  </si>
  <si>
    <t>Discounted 5 Year Transit Cost</t>
  </si>
  <si>
    <t xml:space="preserve">TVM </t>
  </si>
  <si>
    <t>Buy 5 Year Cost</t>
  </si>
  <si>
    <t>Hybrid 5 Year Cost</t>
  </si>
  <si>
    <t>upfront $4k + loan int makes early cost heavier</t>
  </si>
  <si>
    <t>Back loaded lease costs discounted more</t>
  </si>
  <si>
    <t>Flat costs discounted evenly across all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</si>
</sst>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rial"/>
      <family val="2"/>
    </font>
    <font>
      <sz val="11"/>
      <color rgb="FF000000"/>
      <name val="Arial"/>
      <family val="2"/>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9"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2" fillId="0" borderId="0" xfId="0" applyFont="1"/>
    <xf numFmtId="0" fontId="2" fillId="0" borderId="0" xfId="0" applyFont="1" applyAlignment="1">
      <alignment vertical="center" wrapText="1"/>
    </xf>
    <xf numFmtId="0" fontId="0" fillId="2" borderId="0" xfId="0" applyFill="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vertical="center"/>
    </xf>
    <xf numFmtId="44" fontId="4" fillId="0" borderId="0" xfId="1" applyFont="1" applyAlignment="1">
      <alignment vertical="center" wrapText="1"/>
    </xf>
    <xf numFmtId="44" fontId="4" fillId="0" borderId="0" xfId="0" applyNumberFormat="1" applyFont="1"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44" fontId="0" fillId="0" borderId="0" xfId="1" applyFont="1"/>
    <xf numFmtId="44" fontId="0" fillId="2" borderId="0" xfId="1" applyFont="1" applyFill="1"/>
    <xf numFmtId="44" fontId="0" fillId="0" borderId="0" xfId="1" applyFont="1" applyAlignment="1">
      <alignment vertical="center" wrapText="1"/>
    </xf>
    <xf numFmtId="0" fontId="0" fillId="0" borderId="0" xfId="1" applyNumberFormat="1" applyFont="1" applyAlignment="1">
      <alignment vertical="center" wrapText="1"/>
    </xf>
    <xf numFmtId="44" fontId="0" fillId="0" borderId="0" xfId="0" applyNumberFormat="1"/>
    <xf numFmtId="0" fontId="0" fillId="3" borderId="0" xfId="0" applyFill="1" applyAlignment="1">
      <alignment vertical="center" wrapText="1"/>
    </xf>
    <xf numFmtId="0" fontId="0" fillId="4" borderId="0" xfId="0" applyFill="1" applyAlignment="1">
      <alignment vertical="center" wrapText="1"/>
    </xf>
    <xf numFmtId="0" fontId="0" fillId="0" borderId="0" xfId="0" applyAlignment="1">
      <alignment wrapText="1"/>
    </xf>
    <xf numFmtId="0" fontId="0" fillId="2" borderId="0" xfId="0" applyFill="1"/>
    <xf numFmtId="44" fontId="0" fillId="2" borderId="0" xfId="0" applyNumberForma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7212-0EF3-4E1E-BCB8-2981E7383A6B}">
  <dimension ref="A1:C45"/>
  <sheetViews>
    <sheetView tabSelected="1" topLeftCell="A24" zoomScale="73" workbookViewId="0">
      <selection activeCell="H45" sqref="H45"/>
    </sheetView>
  </sheetViews>
  <sheetFormatPr defaultRowHeight="14.4" x14ac:dyDescent="0.3"/>
  <cols>
    <col min="1" max="1" width="33" customWidth="1"/>
    <col min="2" max="2" width="18.33203125" customWidth="1"/>
    <col min="3" max="3" width="22" customWidth="1"/>
    <col min="4" max="4" width="13.33203125" customWidth="1"/>
    <col min="5" max="5" width="12" customWidth="1"/>
    <col min="6" max="6" width="10.21875" customWidth="1"/>
    <col min="10" max="10" width="25.6640625" customWidth="1"/>
    <col min="11" max="11" width="21.44140625" customWidth="1"/>
    <col min="12" max="12" width="22.5546875" customWidth="1"/>
    <col min="13" max="13" width="23.44140625" customWidth="1"/>
    <col min="21" max="22" width="10.6640625" customWidth="1"/>
  </cols>
  <sheetData>
    <row r="1" spans="1:2" x14ac:dyDescent="0.3">
      <c r="A1" s="5" t="s">
        <v>0</v>
      </c>
    </row>
    <row r="3" spans="1:2" x14ac:dyDescent="0.3">
      <c r="A3" t="s">
        <v>1</v>
      </c>
      <c r="B3" s="15">
        <v>62000</v>
      </c>
    </row>
    <row r="4" spans="1:2" x14ac:dyDescent="0.3">
      <c r="A4" t="s">
        <v>2</v>
      </c>
      <c r="B4" s="15">
        <f>B3/12</f>
        <v>5166.666666666667</v>
      </c>
    </row>
    <row r="5" spans="1:2" x14ac:dyDescent="0.3">
      <c r="A5" t="s">
        <v>3</v>
      </c>
      <c r="B5" s="15">
        <v>8000</v>
      </c>
    </row>
    <row r="6" spans="1:2" x14ac:dyDescent="0.3">
      <c r="A6" t="s">
        <v>4</v>
      </c>
      <c r="B6" s="1">
        <v>0.06</v>
      </c>
    </row>
    <row r="7" spans="1:2" x14ac:dyDescent="0.3">
      <c r="A7" t="s">
        <v>5</v>
      </c>
      <c r="B7" s="1">
        <v>0.5</v>
      </c>
    </row>
    <row r="8" spans="1:2" x14ac:dyDescent="0.3">
      <c r="A8" t="s">
        <v>6</v>
      </c>
      <c r="B8">
        <v>800</v>
      </c>
    </row>
    <row r="9" spans="1:2" x14ac:dyDescent="0.3">
      <c r="A9" t="s">
        <v>7</v>
      </c>
      <c r="B9">
        <v>5</v>
      </c>
    </row>
    <row r="10" spans="1:2" x14ac:dyDescent="0.3">
      <c r="A10" t="s">
        <v>8</v>
      </c>
      <c r="B10">
        <f>B9*12</f>
        <v>60</v>
      </c>
    </row>
    <row r="12" spans="1:2" x14ac:dyDescent="0.3">
      <c r="A12" s="5" t="s">
        <v>9</v>
      </c>
    </row>
    <row r="13" spans="1:2" x14ac:dyDescent="0.3">
      <c r="A13" s="2"/>
      <c r="B13" s="2"/>
    </row>
    <row r="14" spans="1:2" x14ac:dyDescent="0.3">
      <c r="A14" s="3" t="s">
        <v>10</v>
      </c>
      <c r="B14" s="17">
        <v>4000</v>
      </c>
    </row>
    <row r="15" spans="1:2" x14ac:dyDescent="0.3">
      <c r="A15" s="3" t="s">
        <v>11</v>
      </c>
      <c r="B15" s="17">
        <v>480</v>
      </c>
    </row>
    <row r="16" spans="1:2" x14ac:dyDescent="0.3">
      <c r="A16" s="3" t="s">
        <v>12</v>
      </c>
      <c r="B16" s="18">
        <v>60</v>
      </c>
    </row>
    <row r="17" spans="1:2" x14ac:dyDescent="0.3">
      <c r="A17" s="3" t="s">
        <v>13</v>
      </c>
      <c r="B17" s="17">
        <v>140</v>
      </c>
    </row>
    <row r="18" spans="1:2" x14ac:dyDescent="0.3">
      <c r="A18" s="3" t="s">
        <v>14</v>
      </c>
      <c r="B18" s="17">
        <v>120</v>
      </c>
    </row>
    <row r="19" spans="1:2" x14ac:dyDescent="0.3">
      <c r="A19" s="3" t="s">
        <v>15</v>
      </c>
      <c r="B19" s="17">
        <v>500</v>
      </c>
    </row>
    <row r="20" spans="1:2" x14ac:dyDescent="0.3">
      <c r="A20" s="3" t="s">
        <v>16</v>
      </c>
      <c r="B20" s="17">
        <v>13000</v>
      </c>
    </row>
    <row r="22" spans="1:2" x14ac:dyDescent="0.3">
      <c r="A22" s="6" t="s">
        <v>17</v>
      </c>
    </row>
    <row r="24" spans="1:2" x14ac:dyDescent="0.3">
      <c r="A24" s="3" t="s">
        <v>18</v>
      </c>
      <c r="B24" s="17">
        <v>2500</v>
      </c>
    </row>
    <row r="25" spans="1:2" x14ac:dyDescent="0.3">
      <c r="A25" s="3" t="s">
        <v>19</v>
      </c>
      <c r="B25" s="17">
        <v>390</v>
      </c>
    </row>
    <row r="26" spans="1:2" x14ac:dyDescent="0.3">
      <c r="A26" s="3" t="s">
        <v>20</v>
      </c>
      <c r="B26" s="18">
        <v>36</v>
      </c>
    </row>
    <row r="27" spans="1:2" x14ac:dyDescent="0.3">
      <c r="A27" s="3" t="s">
        <v>21</v>
      </c>
      <c r="B27" s="17">
        <v>150</v>
      </c>
    </row>
    <row r="28" spans="1:2" x14ac:dyDescent="0.3">
      <c r="A28" s="3" t="s">
        <v>22</v>
      </c>
      <c r="B28" s="17">
        <v>120</v>
      </c>
    </row>
    <row r="29" spans="1:2" x14ac:dyDescent="0.3">
      <c r="A29" s="3" t="s">
        <v>23</v>
      </c>
      <c r="B29" s="17">
        <v>200</v>
      </c>
    </row>
    <row r="30" spans="1:2" x14ac:dyDescent="0.3">
      <c r="A30" s="3"/>
      <c r="B30" s="3"/>
    </row>
    <row r="31" spans="1:2" x14ac:dyDescent="0.3">
      <c r="A31" s="6" t="s">
        <v>62</v>
      </c>
      <c r="B31" s="17"/>
    </row>
    <row r="33" spans="1:3" x14ac:dyDescent="0.3">
      <c r="A33" s="3" t="s">
        <v>72</v>
      </c>
      <c r="B33">
        <v>24</v>
      </c>
      <c r="C33" t="s">
        <v>73</v>
      </c>
    </row>
    <row r="34" spans="1:3" x14ac:dyDescent="0.3">
      <c r="A34" s="3" t="s">
        <v>53</v>
      </c>
      <c r="B34">
        <v>36</v>
      </c>
      <c r="C34" t="s">
        <v>73</v>
      </c>
    </row>
    <row r="36" spans="1:3" x14ac:dyDescent="0.3">
      <c r="A36" s="6" t="s">
        <v>24</v>
      </c>
    </row>
    <row r="38" spans="1:3" x14ac:dyDescent="0.3">
      <c r="A38" s="3" t="s">
        <v>25</v>
      </c>
      <c r="B38" s="17">
        <v>380</v>
      </c>
    </row>
    <row r="39" spans="1:3" x14ac:dyDescent="0.3">
      <c r="A39" s="3" t="s">
        <v>26</v>
      </c>
      <c r="B39" s="4">
        <v>-0.1</v>
      </c>
    </row>
    <row r="40" spans="1:3" x14ac:dyDescent="0.3">
      <c r="A40" s="3" t="s">
        <v>27</v>
      </c>
      <c r="B40" s="4">
        <v>0.1</v>
      </c>
    </row>
    <row r="42" spans="1:3" x14ac:dyDescent="0.3">
      <c r="A42" s="6" t="s">
        <v>28</v>
      </c>
    </row>
    <row r="44" spans="1:3" x14ac:dyDescent="0.3">
      <c r="A44" s="3" t="s">
        <v>29</v>
      </c>
      <c r="B44" s="4">
        <v>0.03</v>
      </c>
    </row>
    <row r="45" spans="1:3" ht="28.8" x14ac:dyDescent="0.3">
      <c r="A45" s="3" t="s">
        <v>30</v>
      </c>
      <c r="B45" s="4">
        <v>0.05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6D8A-519F-4B6B-8927-6BCCAD87B5A5}">
  <dimension ref="A1:F16"/>
  <sheetViews>
    <sheetView workbookViewId="0">
      <selection activeCell="E21" sqref="E21"/>
    </sheetView>
  </sheetViews>
  <sheetFormatPr defaultRowHeight="14.4" x14ac:dyDescent="0.3"/>
  <cols>
    <col min="1" max="1" width="27.33203125" bestFit="1" customWidth="1"/>
    <col min="2" max="2" width="14.109375" bestFit="1" customWidth="1"/>
    <col min="3" max="3" width="18.109375" bestFit="1" customWidth="1"/>
    <col min="4" max="5" width="10.21875" bestFit="1" customWidth="1"/>
    <col min="6" max="6" width="11.21875" bestFit="1" customWidth="1"/>
    <col min="7" max="7" width="12.109375" customWidth="1"/>
    <col min="8" max="8" width="10.88671875" customWidth="1"/>
    <col min="9" max="9" width="12.109375" customWidth="1"/>
    <col min="10" max="10" width="12.21875" customWidth="1"/>
  </cols>
  <sheetData>
    <row r="1" spans="1:6" x14ac:dyDescent="0.3">
      <c r="A1" s="3" t="s">
        <v>31</v>
      </c>
      <c r="B1" s="3">
        <v>1</v>
      </c>
      <c r="C1" s="3">
        <v>2</v>
      </c>
      <c r="D1" s="3">
        <v>3</v>
      </c>
      <c r="E1" s="3">
        <v>4</v>
      </c>
      <c r="F1" s="3">
        <v>5</v>
      </c>
    </row>
    <row r="2" spans="1:6" x14ac:dyDescent="0.3">
      <c r="A2" s="3" t="s">
        <v>32</v>
      </c>
      <c r="B2" s="15">
        <f>Inputs!B14</f>
        <v>4000</v>
      </c>
      <c r="C2" s="15">
        <f>0</f>
        <v>0</v>
      </c>
      <c r="D2" s="15">
        <f>0</f>
        <v>0</v>
      </c>
      <c r="E2" s="15">
        <f>0</f>
        <v>0</v>
      </c>
      <c r="F2" s="15">
        <f>0</f>
        <v>0</v>
      </c>
    </row>
    <row r="3" spans="1:6" x14ac:dyDescent="0.3">
      <c r="A3" s="3" t="s">
        <v>33</v>
      </c>
      <c r="B3" s="15">
        <f>Inputs!B15*12</f>
        <v>5760</v>
      </c>
      <c r="C3" s="15">
        <f>Inputs!B15*12</f>
        <v>5760</v>
      </c>
      <c r="D3" s="15">
        <f>Inputs!B15*12</f>
        <v>5760</v>
      </c>
      <c r="E3" s="15">
        <f>Inputs!B15*12</f>
        <v>5760</v>
      </c>
      <c r="F3" s="15">
        <f>Inputs!B15*12</f>
        <v>5760</v>
      </c>
    </row>
    <row r="4" spans="1:6" x14ac:dyDescent="0.3">
      <c r="A4" s="3" t="s">
        <v>34</v>
      </c>
      <c r="B4" s="15">
        <f>Inputs!B17*12</f>
        <v>1680</v>
      </c>
      <c r="C4" s="15">
        <f>B4*(1+Inputs!B44)</f>
        <v>1730.4</v>
      </c>
      <c r="D4" s="15">
        <f>C4*(1+Inputs!B44)</f>
        <v>1782.3120000000001</v>
      </c>
      <c r="E4" s="15">
        <f>D4*(1+Inputs!B44)</f>
        <v>1835.7813600000002</v>
      </c>
      <c r="F4" s="15">
        <f>E4*(1+Inputs!B44)</f>
        <v>1890.8548008000002</v>
      </c>
    </row>
    <row r="5" spans="1:6" x14ac:dyDescent="0.3">
      <c r="A5" s="3" t="s">
        <v>35</v>
      </c>
      <c r="B5" s="15">
        <f>Inputs!B18*12</f>
        <v>1440</v>
      </c>
      <c r="C5" s="15">
        <f>Inputs!B18*12</f>
        <v>1440</v>
      </c>
      <c r="D5" s="15">
        <f>Inputs!B18*12</f>
        <v>1440</v>
      </c>
      <c r="E5" s="15">
        <f>Inputs!B18*12</f>
        <v>1440</v>
      </c>
      <c r="F5" s="15">
        <f>Inputs!B18*12</f>
        <v>1440</v>
      </c>
    </row>
    <row r="6" spans="1:6" x14ac:dyDescent="0.3">
      <c r="A6" s="3" t="s">
        <v>36</v>
      </c>
      <c r="B6" s="15">
        <f>Inputs!B19</f>
        <v>500</v>
      </c>
      <c r="C6" s="15">
        <f>Inputs!B19</f>
        <v>500</v>
      </c>
      <c r="D6" s="15">
        <f>Inputs!B19</f>
        <v>500</v>
      </c>
      <c r="E6" s="15">
        <f>Inputs!B19</f>
        <v>500</v>
      </c>
      <c r="F6" s="15">
        <f>Inputs!B19</f>
        <v>500</v>
      </c>
    </row>
    <row r="7" spans="1:6" ht="28.8" x14ac:dyDescent="0.3">
      <c r="A7" s="3" t="s">
        <v>37</v>
      </c>
      <c r="B7" s="15">
        <f>SUM(B2:B6)</f>
        <v>13380</v>
      </c>
      <c r="C7" s="15">
        <f t="shared" ref="C7:F7" si="0">SUM(C2:C6)</f>
        <v>9430.4</v>
      </c>
      <c r="D7" s="15">
        <f t="shared" si="0"/>
        <v>9482.3119999999999</v>
      </c>
      <c r="E7" s="15">
        <f t="shared" si="0"/>
        <v>9535.7813600000009</v>
      </c>
      <c r="F7" s="15">
        <f t="shared" si="0"/>
        <v>9590.8548007999998</v>
      </c>
    </row>
    <row r="8" spans="1:6" x14ac:dyDescent="0.3">
      <c r="A8" s="3" t="s">
        <v>38</v>
      </c>
      <c r="B8" s="15">
        <f>0</f>
        <v>0</v>
      </c>
      <c r="C8" s="15">
        <f>0</f>
        <v>0</v>
      </c>
      <c r="D8" s="15">
        <f>0</f>
        <v>0</v>
      </c>
      <c r="E8" s="15">
        <f>0</f>
        <v>0</v>
      </c>
      <c r="F8" s="15">
        <f>Inputs!B20</f>
        <v>13000</v>
      </c>
    </row>
    <row r="9" spans="1:6" x14ac:dyDescent="0.3">
      <c r="A9" s="3" t="s">
        <v>39</v>
      </c>
      <c r="B9" s="15">
        <f>B7-B8</f>
        <v>13380</v>
      </c>
      <c r="C9" s="15">
        <f t="shared" ref="C9:F9" si="1">C7-C8</f>
        <v>9430.4</v>
      </c>
      <c r="D9" s="15">
        <f t="shared" si="1"/>
        <v>9482.3119999999999</v>
      </c>
      <c r="E9" s="15">
        <f t="shared" si="1"/>
        <v>9535.7813600000009</v>
      </c>
      <c r="F9" s="15">
        <f t="shared" si="1"/>
        <v>-3409.1451992000002</v>
      </c>
    </row>
    <row r="11" spans="1:6" ht="28.8" x14ac:dyDescent="0.3">
      <c r="A11" s="7" t="s">
        <v>42</v>
      </c>
      <c r="B11" s="16">
        <f>SUM(B9:F9)</f>
        <v>38419.3481608</v>
      </c>
    </row>
    <row r="13" spans="1:6" x14ac:dyDescent="0.3">
      <c r="A13" t="s">
        <v>117</v>
      </c>
    </row>
    <row r="14" spans="1:6" x14ac:dyDescent="0.3">
      <c r="A14" t="s">
        <v>118</v>
      </c>
      <c r="B14">
        <f>1/(1+Inputs!B45)^1</f>
        <v>0.95238095238095233</v>
      </c>
      <c r="C14">
        <f>1/(1+Inputs!B45)^2</f>
        <v>0.90702947845804982</v>
      </c>
      <c r="D14">
        <f>1/(1+Inputs!B45)^3</f>
        <v>0.86383759853147601</v>
      </c>
      <c r="E14">
        <f>1/(1+Inputs!B45)^4</f>
        <v>0.82270247479188197</v>
      </c>
      <c r="F14">
        <f>1/(1+Inputs!B45)^5</f>
        <v>0.78352616646845896</v>
      </c>
    </row>
    <row r="15" spans="1:6" x14ac:dyDescent="0.3">
      <c r="A15" t="s">
        <v>119</v>
      </c>
      <c r="B15" s="19">
        <f>B9*B14</f>
        <v>12742.857142857141</v>
      </c>
      <c r="C15" s="19">
        <f>C9*C14</f>
        <v>8553.6507936507933</v>
      </c>
      <c r="D15" s="19">
        <f>D9*D14</f>
        <v>8191.177626606197</v>
      </c>
      <c r="E15" s="19">
        <f>E9*E14</f>
        <v>7845.1109239462985</v>
      </c>
      <c r="F15" s="19">
        <f>F9*F14</f>
        <v>-2671.1544688635272</v>
      </c>
    </row>
    <row r="16" spans="1:6" x14ac:dyDescent="0.3">
      <c r="A16" s="23" t="s">
        <v>120</v>
      </c>
      <c r="B16" s="24">
        <f>SUM(B15:F15)</f>
        <v>34661.642018196908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F7CE-2F91-43E9-B65F-7BC1A209EBDA}">
  <dimension ref="A2:F18"/>
  <sheetViews>
    <sheetView workbookViewId="0">
      <selection activeCell="D27" sqref="D27"/>
    </sheetView>
  </sheetViews>
  <sheetFormatPr defaultRowHeight="14.4" x14ac:dyDescent="0.3"/>
  <cols>
    <col min="1" max="1" width="27.33203125" bestFit="1" customWidth="1"/>
    <col min="2" max="2" width="11.21875" bestFit="1" customWidth="1"/>
    <col min="3" max="3" width="10.21875" bestFit="1" customWidth="1"/>
    <col min="4" max="4" width="12.77734375" customWidth="1"/>
    <col min="5" max="5" width="10.21875" bestFit="1" customWidth="1"/>
    <col min="6" max="6" width="11.5546875" bestFit="1" customWidth="1"/>
  </cols>
  <sheetData>
    <row r="2" spans="1:6" x14ac:dyDescent="0.3">
      <c r="B2" t="s">
        <v>75</v>
      </c>
      <c r="C2" t="s">
        <v>75</v>
      </c>
      <c r="D2" t="s">
        <v>76</v>
      </c>
      <c r="E2" t="s">
        <v>76</v>
      </c>
      <c r="F2" t="s">
        <v>76</v>
      </c>
    </row>
    <row r="3" spans="1:6" x14ac:dyDescent="0.3">
      <c r="A3" s="3" t="s">
        <v>31</v>
      </c>
      <c r="B3" s="20">
        <v>1</v>
      </c>
      <c r="C3" s="20">
        <v>2</v>
      </c>
      <c r="D3" s="21">
        <v>3</v>
      </c>
      <c r="E3" s="21">
        <v>4</v>
      </c>
      <c r="F3" s="21">
        <v>5</v>
      </c>
    </row>
    <row r="4" spans="1:6" x14ac:dyDescent="0.3">
      <c r="A4" s="3" t="s">
        <v>32</v>
      </c>
      <c r="B4" s="15">
        <v>0</v>
      </c>
      <c r="C4" s="15">
        <v>0</v>
      </c>
      <c r="D4" s="15">
        <f>Inputs!B24</f>
        <v>2500</v>
      </c>
      <c r="E4" s="15">
        <f>0</f>
        <v>0</v>
      </c>
      <c r="F4" s="15">
        <f>0</f>
        <v>0</v>
      </c>
    </row>
    <row r="5" spans="1:6" x14ac:dyDescent="0.3">
      <c r="A5" s="3" t="s">
        <v>63</v>
      </c>
      <c r="B5" s="15">
        <f>Inputs!B38*12</f>
        <v>4560</v>
      </c>
      <c r="C5" s="15">
        <f>Inputs!B38*12</f>
        <v>4560</v>
      </c>
      <c r="D5" s="15">
        <f>Inputs!B25*12</f>
        <v>4680</v>
      </c>
      <c r="E5" s="15">
        <f>Inputs!B25*12</f>
        <v>4680</v>
      </c>
      <c r="F5" s="15">
        <f>Inputs!B25*12</f>
        <v>4680</v>
      </c>
    </row>
    <row r="6" spans="1:6" x14ac:dyDescent="0.3">
      <c r="A6" s="3" t="s">
        <v>34</v>
      </c>
      <c r="B6" s="15">
        <v>0</v>
      </c>
      <c r="C6" s="15">
        <f>B6*(1+Inputs!B44)</f>
        <v>0</v>
      </c>
      <c r="D6" s="15">
        <f>Inputs!B27*12</f>
        <v>1800</v>
      </c>
      <c r="E6" s="15">
        <f>D6*(1+Inputs!B44)</f>
        <v>1854</v>
      </c>
      <c r="F6" s="15">
        <f>E6*(1+Inputs!B44)</f>
        <v>1909.6200000000001</v>
      </c>
    </row>
    <row r="7" spans="1:6" x14ac:dyDescent="0.3">
      <c r="A7" s="3" t="s">
        <v>35</v>
      </c>
      <c r="B7" s="15">
        <v>0</v>
      </c>
      <c r="C7" s="15">
        <v>0</v>
      </c>
      <c r="D7" s="15">
        <f>Inputs!B28*12</f>
        <v>1440</v>
      </c>
      <c r="E7" s="15">
        <f>Inputs!B28*12</f>
        <v>1440</v>
      </c>
      <c r="F7" s="15">
        <f>Inputs!B28*12</f>
        <v>1440</v>
      </c>
    </row>
    <row r="8" spans="1:6" x14ac:dyDescent="0.3">
      <c r="A8" s="3" t="s">
        <v>36</v>
      </c>
      <c r="B8" s="15">
        <v>0</v>
      </c>
      <c r="C8" s="15">
        <v>0</v>
      </c>
      <c r="D8" s="15">
        <f>Inputs!B29</f>
        <v>200</v>
      </c>
      <c r="E8" s="15">
        <f>Inputs!B29</f>
        <v>200</v>
      </c>
      <c r="F8" s="15">
        <f>Inputs!B29</f>
        <v>200</v>
      </c>
    </row>
    <row r="9" spans="1:6" x14ac:dyDescent="0.3">
      <c r="A9" s="3" t="s">
        <v>37</v>
      </c>
      <c r="B9" s="15">
        <f>SUM(B4:B8)</f>
        <v>4560</v>
      </c>
      <c r="C9" s="15">
        <f>SUM(C4:C8)</f>
        <v>4560</v>
      </c>
      <c r="D9" s="15">
        <f>SUM(D4:D8)</f>
        <v>10620</v>
      </c>
      <c r="E9" s="15">
        <f>SUM(E4:E8)</f>
        <v>8174</v>
      </c>
      <c r="F9" s="15">
        <f>SUM(F4:F8)</f>
        <v>8229.619999999999</v>
      </c>
    </row>
    <row r="10" spans="1:6" x14ac:dyDescent="0.3">
      <c r="A10" s="3" t="s">
        <v>38</v>
      </c>
      <c r="B10" s="15">
        <v>0</v>
      </c>
      <c r="C10" s="15">
        <v>0</v>
      </c>
      <c r="D10" s="15">
        <v>0</v>
      </c>
      <c r="E10" s="15">
        <v>0</v>
      </c>
      <c r="F10" s="15">
        <v>0</v>
      </c>
    </row>
    <row r="11" spans="1:6" x14ac:dyDescent="0.3">
      <c r="A11" s="3" t="s">
        <v>39</v>
      </c>
      <c r="B11" s="15">
        <f>B9-B10</f>
        <v>4560</v>
      </c>
      <c r="C11" s="15">
        <f t="shared" ref="C11:F11" si="0">C9-C10</f>
        <v>4560</v>
      </c>
      <c r="D11" s="15">
        <f t="shared" si="0"/>
        <v>10620</v>
      </c>
      <c r="E11" s="15">
        <f t="shared" si="0"/>
        <v>8174</v>
      </c>
      <c r="F11" s="15">
        <f t="shared" si="0"/>
        <v>8229.619999999999</v>
      </c>
    </row>
    <row r="13" spans="1:6" x14ac:dyDescent="0.3">
      <c r="A13" s="7" t="s">
        <v>71</v>
      </c>
      <c r="B13" s="16">
        <f>SUM(B11:F11)</f>
        <v>36143.619999999995</v>
      </c>
    </row>
    <row r="15" spans="1:6" x14ac:dyDescent="0.3">
      <c r="A15" t="s">
        <v>117</v>
      </c>
    </row>
    <row r="16" spans="1:6" x14ac:dyDescent="0.3">
      <c r="A16" t="s">
        <v>118</v>
      </c>
      <c r="B16">
        <f>1/(1+Inputs!B45)^1</f>
        <v>0.95238095238095233</v>
      </c>
      <c r="C16">
        <f>1/(1+Inputs!B45)^2</f>
        <v>0.90702947845804982</v>
      </c>
      <c r="D16">
        <f>1/(1+Inputs!B45)^3</f>
        <v>0.86383759853147601</v>
      </c>
      <c r="E16">
        <f>1/(1+Inputs!B45)^4</f>
        <v>0.82270247479188197</v>
      </c>
      <c r="F16" s="22">
        <f>1/(1+Inputs!B45)^5</f>
        <v>0.78352616646845896</v>
      </c>
    </row>
    <row r="17" spans="1:6" x14ac:dyDescent="0.3">
      <c r="A17" t="s">
        <v>119</v>
      </c>
      <c r="B17" s="19">
        <f>B11*B16</f>
        <v>4342.8571428571422</v>
      </c>
      <c r="C17" s="19">
        <f>C11*C16</f>
        <v>4136.0544217687075</v>
      </c>
      <c r="D17" s="19">
        <f>D11*D16</f>
        <v>9173.9552964042759</v>
      </c>
      <c r="E17" s="19">
        <f>E11*E16</f>
        <v>6724.770028948843</v>
      </c>
      <c r="F17" s="19">
        <f>F11*F16</f>
        <v>6448.1226100921585</v>
      </c>
    </row>
    <row r="18" spans="1:6" x14ac:dyDescent="0.3">
      <c r="A18" s="23" t="s">
        <v>121</v>
      </c>
      <c r="B18" s="24">
        <f>SUM(B17:F17)</f>
        <v>30825.759500071126</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AF2A-1A3D-46BD-B8F7-26C1E75486BC}">
  <dimension ref="A1:F11"/>
  <sheetViews>
    <sheetView workbookViewId="0">
      <selection activeCell="A20" sqref="A20"/>
    </sheetView>
  </sheetViews>
  <sheetFormatPr defaultRowHeight="14.4" x14ac:dyDescent="0.3"/>
  <cols>
    <col min="1" max="1" width="27.33203125" bestFit="1" customWidth="1"/>
    <col min="2" max="2" width="11.21875" bestFit="1" customWidth="1"/>
    <col min="3" max="6" width="10.21875" bestFit="1" customWidth="1"/>
  </cols>
  <sheetData>
    <row r="1" spans="1:6" x14ac:dyDescent="0.3">
      <c r="A1" s="3" t="s">
        <v>31</v>
      </c>
      <c r="B1" s="3">
        <v>1</v>
      </c>
      <c r="C1" s="3">
        <v>2</v>
      </c>
      <c r="D1" s="3">
        <v>3</v>
      </c>
      <c r="E1" s="3">
        <v>4</v>
      </c>
      <c r="F1" s="3">
        <v>5</v>
      </c>
    </row>
    <row r="2" spans="1:6" x14ac:dyDescent="0.3">
      <c r="A2" s="3" t="s">
        <v>40</v>
      </c>
      <c r="B2" s="15">
        <f>Inputs!B38</f>
        <v>380</v>
      </c>
      <c r="C2" s="15">
        <f>Inputs!B38</f>
        <v>380</v>
      </c>
      <c r="D2" s="15">
        <f>Inputs!B38</f>
        <v>380</v>
      </c>
      <c r="E2" s="15">
        <f>Inputs!B38</f>
        <v>380</v>
      </c>
      <c r="F2" s="15">
        <f>Inputs!B38</f>
        <v>380</v>
      </c>
    </row>
    <row r="3" spans="1:6" x14ac:dyDescent="0.3">
      <c r="A3" s="3" t="s">
        <v>41</v>
      </c>
      <c r="B3" s="15">
        <f>B2*12</f>
        <v>4560</v>
      </c>
      <c r="C3" s="15">
        <f>B2*12</f>
        <v>4560</v>
      </c>
      <c r="D3" s="15">
        <f>B2*12</f>
        <v>4560</v>
      </c>
      <c r="E3" s="15">
        <f>B2*12</f>
        <v>4560</v>
      </c>
      <c r="F3" s="15">
        <f>B2*12</f>
        <v>4560</v>
      </c>
    </row>
    <row r="4" spans="1:6" x14ac:dyDescent="0.3">
      <c r="A4" s="3" t="s">
        <v>39</v>
      </c>
      <c r="B4" s="15">
        <f>B3</f>
        <v>4560</v>
      </c>
      <c r="C4" s="15">
        <f>C3</f>
        <v>4560</v>
      </c>
      <c r="D4" s="15">
        <f t="shared" ref="D4:F4" si="0">D3</f>
        <v>4560</v>
      </c>
      <c r="E4" s="15">
        <f t="shared" si="0"/>
        <v>4560</v>
      </c>
      <c r="F4" s="15">
        <f t="shared" si="0"/>
        <v>4560</v>
      </c>
    </row>
    <row r="6" spans="1:6" ht="43.2" x14ac:dyDescent="0.3">
      <c r="A6" s="7" t="s">
        <v>43</v>
      </c>
      <c r="B6" s="16">
        <f>SUM(B4:F4)</f>
        <v>22800</v>
      </c>
    </row>
    <row r="8" spans="1:6" x14ac:dyDescent="0.3">
      <c r="A8" t="s">
        <v>117</v>
      </c>
    </row>
    <row r="9" spans="1:6" x14ac:dyDescent="0.3">
      <c r="A9" t="s">
        <v>118</v>
      </c>
      <c r="B9">
        <f>1/(1+Inputs!$B$45)^1</f>
        <v>0.95238095238095233</v>
      </c>
      <c r="C9">
        <f>1/(1+Inputs!$B$45)^2</f>
        <v>0.90702947845804982</v>
      </c>
      <c r="D9">
        <f>1/(1+Inputs!$B$45)^3</f>
        <v>0.86383759853147601</v>
      </c>
      <c r="E9">
        <f>1/(1+Inputs!$B$45)^4</f>
        <v>0.82270247479188197</v>
      </c>
      <c r="F9">
        <f>1/(1+Inputs!$B$45)^5</f>
        <v>0.78352616646845896</v>
      </c>
    </row>
    <row r="10" spans="1:6" x14ac:dyDescent="0.3">
      <c r="A10" t="s">
        <v>119</v>
      </c>
      <c r="B10" s="19">
        <f>B4*B9</f>
        <v>4342.8571428571422</v>
      </c>
      <c r="C10" s="19">
        <f>C4*C9</f>
        <v>4136.0544217687075</v>
      </c>
      <c r="D10" s="19">
        <f>D4*D9</f>
        <v>3939.0994493035305</v>
      </c>
      <c r="E10" s="19">
        <f>E4*E9</f>
        <v>3751.5232850509819</v>
      </c>
      <c r="F10" s="19">
        <f>F4*F9</f>
        <v>3572.8793190961728</v>
      </c>
    </row>
    <row r="11" spans="1:6" x14ac:dyDescent="0.3">
      <c r="A11" s="23" t="s">
        <v>122</v>
      </c>
      <c r="B11" s="24">
        <f>SUM(B10:F10)</f>
        <v>19742.413618076534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82A4-32F0-4E99-9396-5A8DED840350}">
  <dimension ref="A1:D36"/>
  <sheetViews>
    <sheetView workbookViewId="0">
      <selection activeCell="C37" sqref="C37"/>
    </sheetView>
  </sheetViews>
  <sheetFormatPr defaultRowHeight="14.4" x14ac:dyDescent="0.3"/>
  <cols>
    <col min="1" max="1" width="36.109375" customWidth="1"/>
    <col min="2" max="2" width="28.77734375" customWidth="1"/>
  </cols>
  <sheetData>
    <row r="1" spans="1:3" ht="27.6" x14ac:dyDescent="0.3">
      <c r="A1" s="8" t="s">
        <v>47</v>
      </c>
      <c r="B1" s="8"/>
    </row>
    <row r="2" spans="1:3" x14ac:dyDescent="0.3">
      <c r="A2" s="9" t="s">
        <v>44</v>
      </c>
      <c r="B2" s="11">
        <f>Buy_Model!B11</f>
        <v>38419.3481608</v>
      </c>
    </row>
    <row r="3" spans="1:3" x14ac:dyDescent="0.3">
      <c r="A3" s="9" t="s">
        <v>64</v>
      </c>
      <c r="B3" s="11">
        <f>Hybrid_Model!B13</f>
        <v>36143.619999999995</v>
      </c>
    </row>
    <row r="4" spans="1:3" x14ac:dyDescent="0.3">
      <c r="A4" s="9" t="s">
        <v>45</v>
      </c>
      <c r="B4" s="11">
        <f>Transit_Model!B6</f>
        <v>22800</v>
      </c>
    </row>
    <row r="5" spans="1:3" x14ac:dyDescent="0.3">
      <c r="A5" s="10"/>
    </row>
    <row r="6" spans="1:3" x14ac:dyDescent="0.3">
      <c r="A6" s="8"/>
      <c r="B6" s="8"/>
    </row>
    <row r="7" spans="1:3" x14ac:dyDescent="0.3">
      <c r="A7" s="9" t="s">
        <v>74</v>
      </c>
      <c r="B7" s="11">
        <f>B2-B3</f>
        <v>2275.7281608000048</v>
      </c>
    </row>
    <row r="8" spans="1:3" x14ac:dyDescent="0.3">
      <c r="A8" s="9" t="s">
        <v>46</v>
      </c>
      <c r="B8" s="11">
        <f>B2-B4</f>
        <v>15619.3481608</v>
      </c>
    </row>
    <row r="9" spans="1:3" x14ac:dyDescent="0.3">
      <c r="A9" s="9" t="s">
        <v>65</v>
      </c>
      <c r="B9" s="19">
        <f>B3-B4</f>
        <v>13343.619999999995</v>
      </c>
    </row>
    <row r="11" spans="1:3" x14ac:dyDescent="0.3">
      <c r="A11" s="8"/>
      <c r="B11" s="8"/>
    </row>
    <row r="12" spans="1:3" x14ac:dyDescent="0.3">
      <c r="A12" s="9" t="s">
        <v>48</v>
      </c>
      <c r="B12" s="11">
        <f>Inputs!B15+Inputs!B17+Inputs!B18+(Inputs!B19/12)</f>
        <v>781.66666666666663</v>
      </c>
    </row>
    <row r="13" spans="1:3" x14ac:dyDescent="0.3">
      <c r="A13" s="9" t="s">
        <v>116</v>
      </c>
      <c r="B13" s="11">
        <f>B3/60</f>
        <v>602.3936666666666</v>
      </c>
      <c r="C13" t="s">
        <v>67</v>
      </c>
    </row>
    <row r="14" spans="1:3" x14ac:dyDescent="0.3">
      <c r="A14" s="9" t="s">
        <v>49</v>
      </c>
      <c r="B14" s="11">
        <f>Inputs!B38</f>
        <v>380</v>
      </c>
    </row>
    <row r="15" spans="1:3" x14ac:dyDescent="0.3">
      <c r="A15" s="10"/>
    </row>
    <row r="16" spans="1:3" x14ac:dyDescent="0.3">
      <c r="A16" s="8"/>
      <c r="B16" s="8"/>
    </row>
    <row r="17" spans="1:4" x14ac:dyDescent="0.3">
      <c r="A17" s="9" t="s">
        <v>68</v>
      </c>
      <c r="B17" s="12">
        <f>B12-B13</f>
        <v>179.27300000000002</v>
      </c>
    </row>
    <row r="18" spans="1:4" x14ac:dyDescent="0.3">
      <c r="A18" s="9" t="s">
        <v>69</v>
      </c>
      <c r="B18" s="12">
        <f>B13-B14</f>
        <v>222.3936666666666</v>
      </c>
    </row>
    <row r="19" spans="1:4" x14ac:dyDescent="0.3">
      <c r="A19" s="9" t="s">
        <v>70</v>
      </c>
      <c r="B19" s="19">
        <f>B12-B14</f>
        <v>401.66666666666663</v>
      </c>
    </row>
    <row r="21" spans="1:4" x14ac:dyDescent="0.3">
      <c r="A21" t="s">
        <v>50</v>
      </c>
    </row>
    <row r="23" spans="1:4" x14ac:dyDescent="0.3">
      <c r="A23" s="2" t="s">
        <v>51</v>
      </c>
      <c r="B23" s="14" t="s">
        <v>52</v>
      </c>
      <c r="C23" s="14" t="s">
        <v>54</v>
      </c>
      <c r="D23" s="14" t="s">
        <v>66</v>
      </c>
    </row>
    <row r="24" spans="1:4" x14ac:dyDescent="0.3">
      <c r="A24" s="3" t="s">
        <v>55</v>
      </c>
      <c r="B24" s="13">
        <v>3</v>
      </c>
      <c r="C24" s="13">
        <v>5</v>
      </c>
      <c r="D24" s="13">
        <v>4</v>
      </c>
    </row>
    <row r="25" spans="1:4" x14ac:dyDescent="0.3">
      <c r="A25" s="3" t="s">
        <v>56</v>
      </c>
      <c r="B25" s="13">
        <v>2</v>
      </c>
      <c r="C25" s="13">
        <v>5</v>
      </c>
      <c r="D25" s="13">
        <v>4</v>
      </c>
    </row>
    <row r="26" spans="1:4" x14ac:dyDescent="0.3">
      <c r="A26" s="3" t="s">
        <v>57</v>
      </c>
      <c r="B26" s="13">
        <v>5</v>
      </c>
      <c r="C26" s="13">
        <v>3</v>
      </c>
      <c r="D26" s="13">
        <v>4</v>
      </c>
    </row>
    <row r="27" spans="1:4" x14ac:dyDescent="0.3">
      <c r="A27" s="3" t="s">
        <v>58</v>
      </c>
      <c r="B27" s="13">
        <v>4</v>
      </c>
      <c r="C27" s="13">
        <v>5</v>
      </c>
      <c r="D27" s="13">
        <v>4</v>
      </c>
    </row>
    <row r="28" spans="1:4" x14ac:dyDescent="0.3">
      <c r="A28" s="3" t="s">
        <v>59</v>
      </c>
      <c r="B28" s="13">
        <v>2</v>
      </c>
      <c r="C28" s="13">
        <v>5</v>
      </c>
      <c r="D28" s="13">
        <v>4</v>
      </c>
    </row>
    <row r="29" spans="1:4" x14ac:dyDescent="0.3">
      <c r="A29" s="6" t="s">
        <v>60</v>
      </c>
      <c r="B29" s="14">
        <v>16</v>
      </c>
      <c r="C29" s="14">
        <v>23</v>
      </c>
      <c r="D29" s="14">
        <v>20</v>
      </c>
    </row>
    <row r="31" spans="1:4" x14ac:dyDescent="0.3">
      <c r="A31" t="s">
        <v>61</v>
      </c>
    </row>
    <row r="33" spans="1:3" x14ac:dyDescent="0.3">
      <c r="A33" t="s">
        <v>123</v>
      </c>
    </row>
    <row r="34" spans="1:3" x14ac:dyDescent="0.3">
      <c r="A34" t="s">
        <v>124</v>
      </c>
      <c r="B34" s="19">
        <f>Buy_Model!B16</f>
        <v>34661.642018196908</v>
      </c>
      <c r="C34" t="s">
        <v>126</v>
      </c>
    </row>
    <row r="35" spans="1:3" x14ac:dyDescent="0.3">
      <c r="A35" t="s">
        <v>125</v>
      </c>
      <c r="B35" s="19">
        <f>Hybrid_Model!B18</f>
        <v>30825.759500071126</v>
      </c>
      <c r="C35" t="s">
        <v>127</v>
      </c>
    </row>
    <row r="36" spans="1:3" x14ac:dyDescent="0.3">
      <c r="A36" t="s">
        <v>54</v>
      </c>
      <c r="B36" s="19">
        <f>Transit_Model!B11</f>
        <v>19742.413618076534</v>
      </c>
      <c r="C36"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33DC-46E8-4A70-AED3-EDC27A39A80A}">
  <dimension ref="A1:F22"/>
  <sheetViews>
    <sheetView workbookViewId="0">
      <selection activeCell="A25" sqref="A25"/>
    </sheetView>
  </sheetViews>
  <sheetFormatPr defaultRowHeight="14.4" x14ac:dyDescent="0.3"/>
  <cols>
    <col min="1" max="1" width="82.6640625" bestFit="1" customWidth="1"/>
    <col min="2" max="2" width="23.21875" bestFit="1" customWidth="1"/>
    <col min="3" max="3" width="43" bestFit="1" customWidth="1"/>
    <col min="4" max="4" width="42.33203125" bestFit="1" customWidth="1"/>
    <col min="5" max="5" width="48.5546875" bestFit="1" customWidth="1"/>
    <col min="6" max="7" width="10.77734375" bestFit="1" customWidth="1"/>
  </cols>
  <sheetData>
    <row r="1" spans="1:6" x14ac:dyDescent="0.3">
      <c r="A1" s="5" t="s">
        <v>113</v>
      </c>
    </row>
    <row r="3" spans="1:6" x14ac:dyDescent="0.3">
      <c r="A3" s="5" t="s">
        <v>114</v>
      </c>
    </row>
    <row r="4" spans="1:6" x14ac:dyDescent="0.3">
      <c r="A4" t="s">
        <v>82</v>
      </c>
      <c r="B4" t="s">
        <v>83</v>
      </c>
      <c r="C4" t="s">
        <v>84</v>
      </c>
      <c r="D4" t="s">
        <v>85</v>
      </c>
      <c r="E4" t="s">
        <v>80</v>
      </c>
      <c r="F4" t="s">
        <v>81</v>
      </c>
    </row>
    <row r="5" spans="1:6" x14ac:dyDescent="0.3">
      <c r="A5" t="s">
        <v>77</v>
      </c>
      <c r="B5" s="1">
        <v>-0.1</v>
      </c>
      <c r="C5" s="19">
        <f>Inputs!B38*(1+Inputs!B39)*24</f>
        <v>8208</v>
      </c>
      <c r="D5" s="19">
        <f>Inputs!B24+Inputs!B25*12*3+Inputs!B27*12*(1+(1+Inputs!B44)+(1+Inputs!B44)^2)+Inputs!B28*12*3+Inputs!B29*3</f>
        <v>27023.620000000003</v>
      </c>
      <c r="E5" s="19">
        <f>C5+D5</f>
        <v>35231.620000000003</v>
      </c>
      <c r="F5" s="19">
        <f>E5-E6</f>
        <v>-912</v>
      </c>
    </row>
    <row r="6" spans="1:6" x14ac:dyDescent="0.3">
      <c r="A6" t="s">
        <v>78</v>
      </c>
      <c r="B6" s="1">
        <v>0</v>
      </c>
      <c r="C6" s="19">
        <f>Inputs!B38*24</f>
        <v>9120</v>
      </c>
      <c r="D6" s="19">
        <f>Inputs!B24+Inputs!B25*12*3+Inputs!B27*12*(1+(1+Inputs!B44)+(1+Inputs!B44)^2)+Inputs!B28*12*3+Inputs!B29*3</f>
        <v>27023.620000000003</v>
      </c>
      <c r="E6" s="19">
        <f>C6+D6</f>
        <v>36143.620000000003</v>
      </c>
    </row>
    <row r="7" spans="1:6" x14ac:dyDescent="0.3">
      <c r="A7" t="s">
        <v>79</v>
      </c>
      <c r="B7" s="1">
        <v>0.1</v>
      </c>
      <c r="C7" s="19">
        <f>Inputs!B38*(1+Inputs!B40)*24</f>
        <v>10032.000000000002</v>
      </c>
      <c r="D7" s="19">
        <f>Inputs!B24+Inputs!B25*12*3+Inputs!B27*12*(1+(1+Inputs!B44)+(1+Inputs!B44)^2)+Inputs!B28*12*3+Inputs!B29*3</f>
        <v>27023.620000000003</v>
      </c>
      <c r="E7" s="19">
        <f>C7+D7</f>
        <v>37055.620000000003</v>
      </c>
      <c r="F7" s="19">
        <f>E7-E6</f>
        <v>912</v>
      </c>
    </row>
    <row r="9" spans="1:6" x14ac:dyDescent="0.3">
      <c r="A9" t="s">
        <v>86</v>
      </c>
    </row>
    <row r="12" spans="1:6" x14ac:dyDescent="0.3">
      <c r="A12" s="5" t="s">
        <v>87</v>
      </c>
    </row>
    <row r="13" spans="1:6" x14ac:dyDescent="0.3">
      <c r="A13" t="s">
        <v>88</v>
      </c>
      <c r="B13" t="s">
        <v>89</v>
      </c>
      <c r="C13" t="s">
        <v>96</v>
      </c>
      <c r="D13" t="s">
        <v>97</v>
      </c>
      <c r="E13" t="s">
        <v>90</v>
      </c>
      <c r="F13" t="s">
        <v>91</v>
      </c>
    </row>
    <row r="14" spans="1:6" x14ac:dyDescent="0.3">
      <c r="A14" t="s">
        <v>92</v>
      </c>
      <c r="B14" t="s">
        <v>94</v>
      </c>
      <c r="C14" t="s">
        <v>103</v>
      </c>
      <c r="D14" t="s">
        <v>102</v>
      </c>
      <c r="E14" t="s">
        <v>100</v>
      </c>
      <c r="F14" t="s">
        <v>98</v>
      </c>
    </row>
    <row r="15" spans="1:6" x14ac:dyDescent="0.3">
      <c r="A15" t="s">
        <v>93</v>
      </c>
      <c r="B15" t="s">
        <v>95</v>
      </c>
      <c r="C15" t="s">
        <v>104</v>
      </c>
      <c r="D15" t="s">
        <v>115</v>
      </c>
      <c r="E15" t="s">
        <v>101</v>
      </c>
      <c r="F15" t="s">
        <v>99</v>
      </c>
    </row>
    <row r="17" spans="1:3" x14ac:dyDescent="0.3">
      <c r="A17" t="s">
        <v>105</v>
      </c>
    </row>
    <row r="19" spans="1:3" x14ac:dyDescent="0.3">
      <c r="A19" s="5" t="s">
        <v>106</v>
      </c>
      <c r="B19" s="5"/>
    </row>
    <row r="20" spans="1:3" x14ac:dyDescent="0.3">
      <c r="A20" t="s">
        <v>107</v>
      </c>
      <c r="B20" s="15">
        <f>E7-E5</f>
        <v>1824</v>
      </c>
      <c r="C20" t="s">
        <v>108</v>
      </c>
    </row>
    <row r="21" spans="1:3" x14ac:dyDescent="0.3">
      <c r="A21" t="s">
        <v>109</v>
      </c>
      <c r="B21" s="19">
        <f>Inputs!B24+Inputs!B25*12*3+Inputs!B27*12*(1+(1+Inputs!B44)+(1+Inputs!B44)^2)+Inputs!B28*12*3+Inputs!B29*3</f>
        <v>27023.620000000003</v>
      </c>
      <c r="C21" t="s">
        <v>112</v>
      </c>
    </row>
    <row r="22" spans="1:3" x14ac:dyDescent="0.3">
      <c r="A22" t="s">
        <v>110</v>
      </c>
      <c r="B22" s="19">
        <f>E7-Buy_Model!B11</f>
        <v>-1363.7281607999976</v>
      </c>
      <c r="C22"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690AFCD97FD74F9FE69462AB480D90" ma:contentTypeVersion="6" ma:contentTypeDescription="Create a new document." ma:contentTypeScope="" ma:versionID="c9c8f4112b13a0714aca8d076f180764">
  <xsd:schema xmlns:xsd="http://www.w3.org/2001/XMLSchema" xmlns:xs="http://www.w3.org/2001/XMLSchema" xmlns:p="http://schemas.microsoft.com/office/2006/metadata/properties" xmlns:ns3="34c5aa33-d5f7-4742-972b-6f9951bc4dbb" targetNamespace="http://schemas.microsoft.com/office/2006/metadata/properties" ma:root="true" ma:fieldsID="6bffbb09aca9cedbc0d1a267831632cc" ns3:_="">
    <xsd:import namespace="34c5aa33-d5f7-4742-972b-6f9951bc4db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c5aa33-d5f7-4742-972b-6f9951bc4db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4c5aa33-d5f7-4742-972b-6f9951bc4dbb" xsi:nil="true"/>
  </documentManagement>
</p:properties>
</file>

<file path=customXml/itemProps1.xml><?xml version="1.0" encoding="utf-8"?>
<ds:datastoreItem xmlns:ds="http://schemas.openxmlformats.org/officeDocument/2006/customXml" ds:itemID="{DECFB813-95B3-45AB-B5D1-BC3976C008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c5aa33-d5f7-4742-972b-6f9951bc4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9A49C2-9DBC-4C2D-9C20-0925FADE2E27}">
  <ds:schemaRefs>
    <ds:schemaRef ds:uri="http://schemas.microsoft.com/sharepoint/v3/contenttype/forms"/>
  </ds:schemaRefs>
</ds:datastoreItem>
</file>

<file path=customXml/itemProps3.xml><?xml version="1.0" encoding="utf-8"?>
<ds:datastoreItem xmlns:ds="http://schemas.openxmlformats.org/officeDocument/2006/customXml" ds:itemID="{4ED45B0D-E1B9-4C2A-950C-8AFEDBBADCBE}">
  <ds:schemaRefs>
    <ds:schemaRef ds:uri="http://purl.org/dc/elements/1.1/"/>
    <ds:schemaRef ds:uri="http://schemas.microsoft.com/office/2006/metadata/properties"/>
    <ds:schemaRef ds:uri="http://schemas.microsoft.com/office/2006/documentManagement/types"/>
    <ds:schemaRef ds:uri="34c5aa33-d5f7-4742-972b-6f9951bc4dbb"/>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Inputs</vt:lpstr>
      <vt:lpstr>Buy_Model</vt:lpstr>
      <vt:lpstr>Hybrid_Model</vt:lpstr>
      <vt:lpstr>Transit_Model</vt:lpstr>
      <vt:lpstr>Comparsion</vt:lpstr>
      <vt:lpstr>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Negrete-Vega</dc:creator>
  <cp:lastModifiedBy>Vanessa Vega</cp:lastModifiedBy>
  <cp:lastPrinted>2026-08-06T17:24:06Z</cp:lastPrinted>
  <dcterms:created xsi:type="dcterms:W3CDTF">2026-03-15T20:45:45Z</dcterms:created>
  <dcterms:modified xsi:type="dcterms:W3CDTF">2026-08-11T18:31:23Z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0x01010009690AFCD97FD74F9FE69462AB480D90</vt:lpwstr>
  </property>
</Properties>
</file>